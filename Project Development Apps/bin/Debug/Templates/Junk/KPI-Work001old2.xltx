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55" yWindow="900" windowWidth="21915" windowHeight="84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</sheets>
  <definedNames>
    <definedName name="dbrange">RawData!#REF!</definedName>
    <definedName name="myMonth">Report!$Z$3:$AA$14</definedName>
  </definedNames>
  <calcPr calcId="125725"/>
  <pivotCaches>
    <pivotCache cacheId="0" r:id="rId7"/>
  </pivotCaches>
</workbook>
</file>

<file path=xl/calcChain.xml><?xml version="1.0" encoding="utf-8"?>
<calcChain xmlns="http://schemas.openxmlformats.org/spreadsheetml/2006/main">
  <c r="O176" i="2"/>
  <c r="N176"/>
  <c r="M176"/>
  <c r="L176"/>
  <c r="K176"/>
  <c r="J176"/>
  <c r="I176"/>
  <c r="H176"/>
  <c r="G176"/>
  <c r="F176"/>
  <c r="E176"/>
  <c r="D176"/>
  <c r="L182"/>
  <c r="H182"/>
  <c r="D182"/>
  <c r="L181"/>
  <c r="H181"/>
  <c r="D181"/>
  <c r="N179"/>
  <c r="L179"/>
  <c r="J179"/>
  <c r="H179"/>
  <c r="F179"/>
  <c r="D179"/>
  <c r="L178"/>
  <c r="H178"/>
  <c r="D178"/>
  <c r="L177"/>
  <c r="H177"/>
  <c r="V25"/>
  <c r="V21"/>
  <c r="T22"/>
  <c r="R23"/>
  <c r="P24"/>
  <c r="N24"/>
  <c r="V20"/>
  <c r="V16"/>
  <c r="T18"/>
  <c r="R20"/>
  <c r="R16"/>
  <c r="P18"/>
  <c r="M20"/>
  <c r="M15"/>
  <c r="K16"/>
  <c r="I17"/>
  <c r="G18"/>
  <c r="E20"/>
  <c r="E15"/>
  <c r="J91"/>
  <c r="D90"/>
  <c r="M182"/>
  <c r="E182"/>
  <c r="M181"/>
  <c r="I181"/>
  <c r="E181"/>
  <c r="N180"/>
  <c r="J180"/>
  <c r="H180"/>
  <c r="D180"/>
  <c r="M178"/>
  <c r="E178"/>
  <c r="I177"/>
  <c r="V22"/>
  <c r="T23"/>
  <c r="P25"/>
  <c r="N21"/>
  <c r="T19"/>
  <c r="T15"/>
  <c r="P19"/>
  <c r="P15"/>
  <c r="K17"/>
  <c r="G20"/>
  <c r="E16"/>
  <c r="O182"/>
  <c r="K182"/>
  <c r="G182"/>
  <c r="O181"/>
  <c r="K181"/>
  <c r="G181"/>
  <c r="O180"/>
  <c r="M180"/>
  <c r="K180"/>
  <c r="I180"/>
  <c r="G180"/>
  <c r="E180"/>
  <c r="O178"/>
  <c r="K178"/>
  <c r="G178"/>
  <c r="O177"/>
  <c r="K177"/>
  <c r="G177"/>
  <c r="V24"/>
  <c r="T25"/>
  <c r="T21"/>
  <c r="R22"/>
  <c r="P23"/>
  <c r="N23"/>
  <c r="V19"/>
  <c r="V15"/>
  <c r="T17"/>
  <c r="R19"/>
  <c r="R15"/>
  <c r="P17"/>
  <c r="M18"/>
  <c r="K20"/>
  <c r="K15"/>
  <c r="I16"/>
  <c r="G17"/>
  <c r="E18"/>
  <c r="D19"/>
  <c r="H91"/>
  <c r="I182"/>
  <c r="L180"/>
  <c r="F180"/>
  <c r="I178"/>
  <c r="M177"/>
  <c r="E177"/>
  <c r="R24"/>
  <c r="P21"/>
  <c r="V17"/>
  <c r="R17"/>
  <c r="M16"/>
  <c r="I18"/>
  <c r="G15"/>
  <c r="L91"/>
  <c r="D91"/>
  <c r="N182"/>
  <c r="J182"/>
  <c r="F182"/>
  <c r="N181"/>
  <c r="J181"/>
  <c r="F181"/>
  <c r="O179"/>
  <c r="M179"/>
  <c r="K179"/>
  <c r="I179"/>
  <c r="G179"/>
  <c r="E179"/>
  <c r="N178"/>
  <c r="J178"/>
  <c r="F178"/>
  <c r="N177"/>
  <c r="J177"/>
  <c r="F177"/>
  <c r="V23"/>
  <c r="T24"/>
  <c r="R25"/>
  <c r="R21"/>
  <c r="P22"/>
  <c r="N22"/>
  <c r="V18"/>
  <c r="T20"/>
  <c r="T16"/>
  <c r="R18"/>
  <c r="P20"/>
  <c r="P16"/>
  <c r="M17"/>
  <c r="K18"/>
  <c r="I20"/>
  <c r="I15"/>
  <c r="G16"/>
  <c r="E17"/>
  <c r="D17"/>
  <c r="F91"/>
  <c r="D177"/>
  <c r="N166"/>
  <c r="N162"/>
  <c r="N158"/>
  <c r="M169"/>
  <c r="M165"/>
  <c r="M161"/>
  <c r="M157"/>
  <c r="L169"/>
  <c r="L165"/>
  <c r="L161"/>
  <c r="L157"/>
  <c r="K167"/>
  <c r="K163"/>
  <c r="K159"/>
  <c r="K155"/>
  <c r="I166"/>
  <c r="I162"/>
  <c r="I158"/>
  <c r="N167"/>
  <c r="N155"/>
  <c r="M162"/>
  <c r="L155"/>
  <c r="L162"/>
  <c r="K168"/>
  <c r="K160"/>
  <c r="I167"/>
  <c r="I155"/>
  <c r="N164"/>
  <c r="N156"/>
  <c r="M163"/>
  <c r="M155"/>
  <c r="L167"/>
  <c r="L159"/>
  <c r="K165"/>
  <c r="K157"/>
  <c r="I164"/>
  <c r="I156"/>
  <c r="N169"/>
  <c r="N165"/>
  <c r="N161"/>
  <c r="N157"/>
  <c r="M168"/>
  <c r="M164"/>
  <c r="M160"/>
  <c r="M156"/>
  <c r="L168"/>
  <c r="L164"/>
  <c r="L160"/>
  <c r="L156"/>
  <c r="K166"/>
  <c r="K162"/>
  <c r="K158"/>
  <c r="I168"/>
  <c r="I165"/>
  <c r="I161"/>
  <c r="I157"/>
  <c r="N163"/>
  <c r="N159"/>
  <c r="M166"/>
  <c r="M158"/>
  <c r="L166"/>
  <c r="L158"/>
  <c r="K164"/>
  <c r="K156"/>
  <c r="I163"/>
  <c r="I159"/>
  <c r="N168"/>
  <c r="N160"/>
  <c r="M167"/>
  <c r="M159"/>
  <c r="L163"/>
  <c r="K169"/>
  <c r="K161"/>
  <c r="I169"/>
  <c r="I160"/>
  <c r="I13"/>
  <c r="I12"/>
  <c r="I11"/>
  <c r="I10"/>
  <c r="I9"/>
  <c r="I8"/>
  <c r="I7"/>
  <c r="I6"/>
  <c r="I5"/>
  <c r="I4"/>
  <c r="O159" l="1"/>
  <c r="O167"/>
  <c r="O158"/>
  <c r="O166"/>
  <c r="O156"/>
  <c r="O160"/>
  <c r="O164"/>
  <c r="O168"/>
  <c r="O155"/>
  <c r="O163"/>
  <c r="O162"/>
  <c r="O157"/>
  <c r="O161"/>
  <c r="O165"/>
  <c r="O169"/>
  <c r="F191"/>
  <c r="F183"/>
  <c r="F188"/>
  <c r="J188"/>
  <c r="J191"/>
  <c r="J183"/>
  <c r="N191"/>
  <c r="N188"/>
  <c r="N183"/>
  <c r="F184"/>
  <c r="J184"/>
  <c r="N184"/>
  <c r="N185" s="1"/>
  <c r="N192" s="1"/>
  <c r="E189"/>
  <c r="G189"/>
  <c r="I189"/>
  <c r="K189"/>
  <c r="M189"/>
  <c r="O189"/>
  <c r="E183"/>
  <c r="E185" s="1"/>
  <c r="E192" s="1"/>
  <c r="E191"/>
  <c r="E188"/>
  <c r="E190" s="1"/>
  <c r="M183"/>
  <c r="M185" s="1"/>
  <c r="M192" s="1"/>
  <c r="M191"/>
  <c r="M188"/>
  <c r="M190" s="1"/>
  <c r="I184"/>
  <c r="G183"/>
  <c r="G191"/>
  <c r="G188"/>
  <c r="K183"/>
  <c r="K188"/>
  <c r="K191"/>
  <c r="O183"/>
  <c r="O185" s="1"/>
  <c r="O192" s="1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D185" s="1"/>
  <c r="D192" s="1"/>
  <c r="I170"/>
  <c r="G164"/>
  <c r="G165"/>
  <c r="G157"/>
  <c r="F165"/>
  <c r="F156"/>
  <c r="G166"/>
  <c r="G158"/>
  <c r="F162"/>
  <c r="G167"/>
  <c r="G163"/>
  <c r="G159"/>
  <c r="G155"/>
  <c r="F167"/>
  <c r="F163"/>
  <c r="F159"/>
  <c r="F157"/>
  <c r="G168"/>
  <c r="G160"/>
  <c r="G156"/>
  <c r="F168"/>
  <c r="F164"/>
  <c r="F160"/>
  <c r="F155"/>
  <c r="G169"/>
  <c r="G161"/>
  <c r="F169"/>
  <c r="F161"/>
  <c r="G162"/>
  <c r="F166"/>
  <c r="F158"/>
  <c r="L190" l="1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T133"/>
  <c r="N133"/>
  <c r="S74"/>
  <c r="T129"/>
  <c r="S132"/>
  <c r="O131"/>
  <c r="O133"/>
  <c r="O132"/>
  <c r="E146"/>
  <c r="D144"/>
  <c r="E140"/>
  <c r="E128"/>
  <c r="T74"/>
  <c r="T131"/>
  <c r="S71"/>
  <c r="N131"/>
  <c r="S130"/>
  <c r="D143"/>
  <c r="E139"/>
  <c r="D146"/>
  <c r="E145"/>
  <c r="O130"/>
  <c r="M131"/>
  <c r="T71"/>
  <c r="R73"/>
  <c r="P130"/>
  <c r="G145"/>
  <c r="E141"/>
  <c r="G140"/>
  <c r="D141"/>
  <c r="T130"/>
  <c r="N129"/>
  <c r="R74"/>
  <c r="S73"/>
  <c r="P133"/>
  <c r="U72"/>
  <c r="Q71"/>
  <c r="T73"/>
  <c r="S129"/>
  <c r="M133"/>
  <c r="Q72"/>
  <c r="Q73"/>
  <c r="E142"/>
  <c r="G144"/>
  <c r="G138"/>
  <c r="D140"/>
  <c r="G143"/>
  <c r="D145"/>
  <c r="D138"/>
  <c r="R71"/>
  <c r="S133"/>
  <c r="R72"/>
  <c r="O129"/>
  <c r="D139"/>
  <c r="G142"/>
  <c r="M129"/>
  <c r="D142"/>
  <c r="P132"/>
  <c r="M132"/>
  <c r="N130"/>
  <c r="N132"/>
  <c r="T132"/>
  <c r="S72"/>
  <c r="G141"/>
  <c r="G146"/>
  <c r="E144"/>
  <c r="S131"/>
  <c r="Q74"/>
  <c r="P129"/>
  <c r="P131"/>
  <c r="T72"/>
  <c r="M130"/>
  <c r="E138"/>
  <c r="E143"/>
  <c r="G139"/>
  <c r="J155" l="1"/>
  <c r="J170" s="1"/>
  <c r="H170"/>
  <c r="Q129"/>
  <c r="M134"/>
  <c r="O134"/>
  <c r="Q130"/>
  <c r="U130" s="1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1" l="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E136"/>
  <c r="D135"/>
  <c r="G136"/>
  <c r="E129"/>
  <c r="G129"/>
  <c r="G134"/>
  <c r="F117"/>
  <c r="F118"/>
  <c r="F110"/>
  <c r="E117"/>
  <c r="F116"/>
  <c r="E109"/>
  <c r="G131"/>
  <c r="D129"/>
  <c r="D128"/>
  <c r="E133"/>
  <c r="G133"/>
  <c r="D131"/>
  <c r="D132"/>
  <c r="E116"/>
  <c r="F112"/>
  <c r="E110"/>
  <c r="F119"/>
  <c r="E112"/>
  <c r="F108"/>
  <c r="G135"/>
  <c r="D133"/>
  <c r="E131"/>
  <c r="G128"/>
  <c r="D130"/>
  <c r="E130"/>
  <c r="D136"/>
  <c r="E111"/>
  <c r="F115"/>
  <c r="F113"/>
  <c r="E118"/>
  <c r="F109"/>
  <c r="E119"/>
  <c r="E132"/>
  <c r="G130"/>
  <c r="G132"/>
  <c r="D134"/>
  <c r="E134"/>
  <c r="E135"/>
  <c r="E113"/>
  <c r="E114"/>
  <c r="E115"/>
  <c r="F111"/>
  <c r="E108"/>
  <c r="F114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18"/>
  <c r="D116"/>
  <c r="D117"/>
  <c r="D119"/>
  <c r="D112"/>
  <c r="D109"/>
  <c r="D110"/>
  <c r="D111"/>
  <c r="D115"/>
  <c r="D113"/>
  <c r="D114"/>
  <c r="G116" l="1"/>
  <c r="G112"/>
  <c r="G111"/>
  <c r="G115"/>
  <c r="G119"/>
  <c r="G110"/>
  <c r="G114"/>
  <c r="G118"/>
  <c r="G109"/>
  <c r="G113"/>
  <c r="G117"/>
  <c r="F137"/>
  <c r="H133"/>
  <c r="H137" s="1"/>
  <c r="E120"/>
  <c r="AA73"/>
  <c r="X72"/>
  <c r="U70"/>
  <c r="K69"/>
  <c r="H68"/>
  <c r="D72"/>
  <c r="Y73"/>
  <c r="S70"/>
  <c r="I69"/>
  <c r="AB71"/>
  <c r="W72"/>
  <c r="K68"/>
  <c r="E70"/>
  <c r="AA70"/>
  <c r="W74"/>
  <c r="R70"/>
  <c r="K70"/>
  <c r="H69"/>
  <c r="E68"/>
  <c r="X74"/>
  <c r="J68"/>
  <c r="Z73"/>
  <c r="L71"/>
  <c r="W68"/>
  <c r="W60"/>
  <c r="X68"/>
  <c r="Q61"/>
  <c r="U65"/>
  <c r="AA61"/>
  <c r="T62"/>
  <c r="Q65"/>
  <c r="AA69"/>
  <c r="R58"/>
  <c r="T69"/>
  <c r="X64"/>
  <c r="AA63"/>
  <c r="R62"/>
  <c r="AB58"/>
  <c r="Z66"/>
  <c r="V59"/>
  <c r="Q68"/>
  <c r="U66"/>
  <c r="Z68"/>
  <c r="R60"/>
  <c r="V60"/>
  <c r="AA65"/>
  <c r="T66"/>
  <c r="W66"/>
  <c r="Q62"/>
  <c r="S60"/>
  <c r="X66"/>
  <c r="Z62"/>
  <c r="Y60"/>
  <c r="X63"/>
  <c r="T63"/>
  <c r="AB64"/>
  <c r="S62"/>
  <c r="AB72"/>
  <c r="Y71"/>
  <c r="V70"/>
  <c r="L68"/>
  <c r="H72"/>
  <c r="E71"/>
  <c r="AA71"/>
  <c r="U73"/>
  <c r="J72"/>
  <c r="E69"/>
  <c r="X71"/>
  <c r="K72"/>
  <c r="G68"/>
  <c r="AA74"/>
  <c r="X73"/>
  <c r="U71"/>
  <c r="L69"/>
  <c r="I68"/>
  <c r="E72"/>
  <c r="Z72"/>
  <c r="K71"/>
  <c r="D70"/>
  <c r="T70"/>
  <c r="F69"/>
  <c r="Y58"/>
  <c r="Q59"/>
  <c r="U64"/>
  <c r="X58"/>
  <c r="Q69"/>
  <c r="V58"/>
  <c r="V63"/>
  <c r="S63"/>
  <c r="V61"/>
  <c r="W62"/>
  <c r="U69"/>
  <c r="U60"/>
  <c r="V65"/>
  <c r="X69"/>
  <c r="W69"/>
  <c r="Q60"/>
  <c r="Y68"/>
  <c r="W64"/>
  <c r="D108"/>
  <c r="W58"/>
  <c r="X62"/>
  <c r="S69"/>
  <c r="V62"/>
  <c r="AB65"/>
  <c r="Y61"/>
  <c r="T65"/>
  <c r="S58"/>
  <c r="AB60"/>
  <c r="V68"/>
  <c r="U68"/>
  <c r="X61"/>
  <c r="Q58"/>
  <c r="Z63"/>
  <c r="Z70"/>
  <c r="V74"/>
  <c r="L72"/>
  <c r="I71"/>
  <c r="F70"/>
  <c r="AB70"/>
  <c r="V72"/>
  <c r="L70"/>
  <c r="F72"/>
  <c r="Y74"/>
  <c r="M70"/>
  <c r="H71"/>
  <c r="AB73"/>
  <c r="Y72"/>
  <c r="V71"/>
  <c r="M68"/>
  <c r="I72"/>
  <c r="F71"/>
  <c r="AB74"/>
  <c r="Q70"/>
  <c r="F68"/>
  <c r="V73"/>
  <c r="G72"/>
  <c r="Z65"/>
  <c r="R66"/>
  <c r="X65"/>
  <c r="Z60"/>
  <c r="Y69"/>
  <c r="W65"/>
  <c r="AA62"/>
  <c r="V64"/>
  <c r="X59"/>
  <c r="R68"/>
  <c r="W59"/>
  <c r="S65"/>
  <c r="Z61"/>
  <c r="AA58"/>
  <c r="T64"/>
  <c r="T58"/>
  <c r="U61"/>
  <c r="Y62"/>
  <c r="Q63"/>
  <c r="Y64"/>
  <c r="Z64"/>
  <c r="AA68"/>
  <c r="X60"/>
  <c r="S61"/>
  <c r="Z69"/>
  <c r="Y66"/>
  <c r="R64"/>
  <c r="S59"/>
  <c r="U59"/>
  <c r="T60"/>
  <c r="T68"/>
  <c r="W63"/>
  <c r="U63"/>
  <c r="Z74"/>
  <c r="W73"/>
  <c r="M71"/>
  <c r="J70"/>
  <c r="G69"/>
  <c r="D68"/>
  <c r="X70"/>
  <c r="M69"/>
  <c r="H70"/>
  <c r="AA72"/>
  <c r="U74"/>
  <c r="I70"/>
  <c r="D71"/>
  <c r="Z71"/>
  <c r="W70"/>
  <c r="M72"/>
  <c r="J71"/>
  <c r="G70"/>
  <c r="D69"/>
  <c r="W71"/>
  <c r="G71"/>
  <c r="Y70"/>
  <c r="J69"/>
  <c r="AB63"/>
  <c r="U62"/>
  <c r="AA66"/>
  <c r="AB62"/>
  <c r="Q66"/>
  <c r="Y63"/>
  <c r="Q64"/>
  <c r="V69"/>
  <c r="AA64"/>
  <c r="AB68"/>
  <c r="AA59"/>
  <c r="R63"/>
  <c r="AB59"/>
  <c r="S64"/>
  <c r="Y65"/>
  <c r="W61"/>
  <c r="R69"/>
  <c r="AA60"/>
  <c r="T61"/>
  <c r="AB61"/>
  <c r="AB66"/>
  <c r="R61"/>
  <c r="Z58"/>
  <c r="R59"/>
  <c r="T59"/>
  <c r="S68"/>
  <c r="Z59"/>
  <c r="R65"/>
  <c r="V66"/>
  <c r="AB69"/>
  <c r="U58"/>
  <c r="S66"/>
  <c r="Y59"/>
  <c r="V67" l="1"/>
  <c r="Z67"/>
  <c r="X67"/>
  <c r="AB67"/>
  <c r="W67"/>
  <c r="AA67"/>
  <c r="D120"/>
  <c r="G108"/>
  <c r="U67"/>
  <c r="Y67"/>
  <c r="S67"/>
  <c r="R67"/>
  <c r="T67"/>
  <c r="AB48"/>
  <c r="AB49"/>
  <c r="AC50"/>
  <c r="AB47"/>
  <c r="AC48"/>
  <c r="AC49"/>
  <c r="AC47"/>
  <c r="AB50"/>
  <c r="AC46"/>
  <c r="AD48" l="1"/>
  <c r="AD47"/>
  <c r="AD50"/>
  <c r="AD49"/>
  <c r="Q67"/>
  <c r="H89"/>
  <c r="O11"/>
  <c r="AC31"/>
  <c r="AC32"/>
  <c r="Y47"/>
  <c r="AB36"/>
  <c r="L89"/>
  <c r="G89"/>
  <c r="AC35"/>
  <c r="AC36"/>
  <c r="D89"/>
  <c r="AC42"/>
  <c r="U11"/>
  <c r="AC41"/>
  <c r="AB31"/>
  <c r="AB32"/>
  <c r="M89"/>
  <c r="AB46"/>
  <c r="J89"/>
  <c r="Z40"/>
  <c r="Z41"/>
  <c r="AB38"/>
  <c r="AB45"/>
  <c r="W11"/>
  <c r="Y46"/>
  <c r="AB30"/>
  <c r="Z45"/>
  <c r="AC38"/>
  <c r="AB35"/>
  <c r="Y48"/>
  <c r="Q11"/>
  <c r="Z37"/>
  <c r="AB37"/>
  <c r="Z47"/>
  <c r="AB42"/>
  <c r="Z46"/>
  <c r="S11"/>
  <c r="AC34"/>
  <c r="AC43"/>
  <c r="Y43"/>
  <c r="Y45"/>
  <c r="Z50"/>
  <c r="E89"/>
  <c r="Y37"/>
  <c r="Z44"/>
  <c r="Z42"/>
  <c r="AC30"/>
  <c r="K89"/>
  <c r="Y50"/>
  <c r="AB34"/>
  <c r="AB41"/>
  <c r="AC37"/>
  <c r="Y42"/>
  <c r="Y49"/>
  <c r="Z43"/>
  <c r="AB33"/>
  <c r="AC40"/>
  <c r="AC45"/>
  <c r="Y40"/>
  <c r="Z48"/>
  <c r="AB43"/>
  <c r="AC33"/>
  <c r="AC44"/>
  <c r="Z49"/>
  <c r="Y44"/>
  <c r="I89"/>
  <c r="Y41"/>
  <c r="AB44"/>
  <c r="AB40"/>
  <c r="F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1"/>
  <c r="Z30"/>
  <c r="Z36"/>
  <c r="Z35"/>
  <c r="Z34"/>
  <c r="Z33"/>
  <c r="Z38"/>
  <c r="Z32"/>
  <c r="AD39" l="1"/>
  <c r="Z39"/>
  <c r="L16"/>
  <c r="F18"/>
  <c r="J16"/>
  <c r="J19"/>
  <c r="F15"/>
  <c r="J20"/>
  <c r="L15"/>
  <c r="F17"/>
  <c r="L18"/>
  <c r="L20"/>
  <c r="H16"/>
  <c r="Y38"/>
  <c r="L17"/>
  <c r="F19"/>
  <c r="Y35"/>
  <c r="L19"/>
  <c r="H15"/>
  <c r="Y33"/>
  <c r="J5"/>
  <c r="H20"/>
  <c r="Y36"/>
  <c r="Y30"/>
  <c r="H17"/>
  <c r="Y31"/>
  <c r="Y34"/>
  <c r="H19"/>
  <c r="Y32"/>
  <c r="D16"/>
  <c r="J18"/>
  <c r="D20"/>
  <c r="F16"/>
  <c r="J15"/>
  <c r="D15"/>
  <c r="F20"/>
  <c r="J17"/>
  <c r="D18"/>
  <c r="H18"/>
  <c r="AA30" l="1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J45"/>
  <c r="L45" s="1"/>
  <c r="G49"/>
  <c r="G48"/>
  <c r="G47"/>
  <c r="G46"/>
  <c r="G45"/>
  <c r="G44"/>
  <c r="D49"/>
  <c r="D47"/>
  <c r="D45"/>
  <c r="D44"/>
  <c r="J34"/>
  <c r="L34" s="1"/>
  <c r="G97"/>
  <c r="H98"/>
  <c r="K98"/>
  <c r="E48"/>
  <c r="N44"/>
  <c r="G95"/>
  <c r="J96"/>
  <c r="E98"/>
  <c r="E49"/>
  <c r="G98"/>
  <c r="D99"/>
  <c r="K99"/>
  <c r="H47"/>
  <c r="E46"/>
  <c r="M99"/>
  <c r="J97"/>
  <c r="E97"/>
  <c r="H49"/>
  <c r="Q47"/>
  <c r="K47"/>
  <c r="I97"/>
  <c r="L98"/>
  <c r="H99"/>
  <c r="N45"/>
  <c r="M98"/>
  <c r="J95"/>
  <c r="D97"/>
  <c r="K49"/>
  <c r="G96"/>
  <c r="H96"/>
  <c r="F97"/>
  <c r="Q49"/>
  <c r="K46"/>
  <c r="M97"/>
  <c r="K97"/>
  <c r="L95"/>
  <c r="F96"/>
  <c r="H44"/>
  <c r="N47"/>
  <c r="I95"/>
  <c r="K96"/>
  <c r="F95"/>
  <c r="Q48"/>
  <c r="K44"/>
  <c r="E96"/>
  <c r="L97"/>
  <c r="F99"/>
  <c r="K48"/>
  <c r="I96"/>
  <c r="J98"/>
  <c r="H95"/>
  <c r="Q46"/>
  <c r="H45"/>
  <c r="G99"/>
  <c r="E95"/>
  <c r="L99"/>
  <c r="Q45"/>
  <c r="K45"/>
  <c r="H46"/>
  <c r="F98"/>
  <c r="I99"/>
  <c r="M95"/>
  <c r="N48"/>
  <c r="E47"/>
  <c r="J99"/>
  <c r="I98"/>
  <c r="D96"/>
  <c r="E45"/>
  <c r="D98"/>
  <c r="K95"/>
  <c r="L96"/>
  <c r="N49"/>
  <c r="N46"/>
  <c r="H97"/>
  <c r="M96"/>
  <c r="E99"/>
  <c r="E44"/>
  <c r="H48"/>
  <c r="Q44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G93"/>
  <c r="D95"/>
  <c r="M93"/>
  <c r="H94"/>
  <c r="K94"/>
  <c r="F93"/>
  <c r="M94"/>
  <c r="F94"/>
  <c r="I94"/>
  <c r="J94"/>
  <c r="L94"/>
  <c r="J93"/>
  <c r="I93"/>
  <c r="K93"/>
  <c r="G94"/>
  <c r="L93"/>
  <c r="H93"/>
  <c r="N95" l="1"/>
  <c r="M87"/>
  <c r="F88"/>
  <c r="J84"/>
  <c r="F90"/>
  <c r="F86"/>
  <c r="M90"/>
  <c r="E91"/>
  <c r="F84"/>
  <c r="I82"/>
  <c r="H84"/>
  <c r="M83"/>
  <c r="L84"/>
  <c r="H90"/>
  <c r="H88"/>
  <c r="I85"/>
  <c r="G84"/>
  <c r="K83"/>
  <c r="I87"/>
  <c r="H87"/>
  <c r="H83"/>
  <c r="G85"/>
  <c r="J85"/>
  <c r="E82"/>
  <c r="K85"/>
  <c r="K87"/>
  <c r="I91"/>
  <c r="E94"/>
  <c r="F87"/>
  <c r="M91"/>
  <c r="E86"/>
  <c r="G83"/>
  <c r="E90"/>
  <c r="L90"/>
  <c r="K90"/>
  <c r="E87"/>
  <c r="I88"/>
  <c r="J88"/>
  <c r="M82"/>
  <c r="J87"/>
  <c r="G91"/>
  <c r="M84"/>
  <c r="F83"/>
  <c r="G87"/>
  <c r="G90"/>
  <c r="I83"/>
  <c r="E85"/>
  <c r="H82"/>
  <c r="K91"/>
  <c r="M85"/>
  <c r="E84"/>
  <c r="M88"/>
  <c r="D93"/>
  <c r="G88"/>
  <c r="E83"/>
  <c r="K88"/>
  <c r="G82"/>
  <c r="H86"/>
  <c r="L82"/>
  <c r="K82"/>
  <c r="D94"/>
  <c r="L88"/>
  <c r="J90"/>
  <c r="E93"/>
  <c r="L83"/>
  <c r="F82"/>
  <c r="J86"/>
  <c r="K86"/>
  <c r="L85"/>
  <c r="L86"/>
  <c r="J82"/>
  <c r="I84"/>
  <c r="F85"/>
  <c r="G86"/>
  <c r="K84"/>
  <c r="J83"/>
  <c r="H85"/>
  <c r="L87"/>
  <c r="I90"/>
  <c r="M86"/>
  <c r="I86"/>
  <c r="E88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D46" l="1"/>
  <c r="F46" s="1"/>
  <c r="D48"/>
  <c r="F48" s="1"/>
  <c r="E42"/>
  <c r="N91"/>
  <c r="E40"/>
  <c r="E41"/>
  <c r="Q43"/>
  <c r="K43"/>
  <c r="N43"/>
  <c r="H43"/>
  <c r="N90"/>
  <c r="N89"/>
  <c r="O92"/>
  <c r="I19"/>
  <c r="W13"/>
  <c r="T5"/>
  <c r="V5"/>
  <c r="R9"/>
  <c r="V7"/>
  <c r="R14"/>
  <c r="U7"/>
  <c r="N14"/>
  <c r="Q15"/>
  <c r="O20"/>
  <c r="W18"/>
  <c r="N7"/>
  <c r="U13"/>
  <c r="R12"/>
  <c r="G19"/>
  <c r="T10"/>
  <c r="O4"/>
  <c r="D83"/>
  <c r="O10"/>
  <c r="S21"/>
  <c r="T8"/>
  <c r="O13"/>
  <c r="Q12"/>
  <c r="U20"/>
  <c r="U16"/>
  <c r="E19"/>
  <c r="R4"/>
  <c r="N4"/>
  <c r="U18"/>
  <c r="S5"/>
  <c r="P5"/>
  <c r="S14"/>
  <c r="N25"/>
  <c r="O25"/>
  <c r="R10"/>
  <c r="D85"/>
  <c r="O6"/>
  <c r="U4"/>
  <c r="N19"/>
  <c r="N15"/>
  <c r="U17"/>
  <c r="V6"/>
  <c r="W21"/>
  <c r="W20"/>
  <c r="D4"/>
  <c r="K5"/>
  <c r="F8"/>
  <c r="J10"/>
  <c r="F11"/>
  <c r="D7"/>
  <c r="F12"/>
  <c r="J12"/>
  <c r="L7"/>
  <c r="E9"/>
  <c r="G4"/>
  <c r="K4"/>
  <c r="F13"/>
  <c r="M7"/>
  <c r="M8"/>
  <c r="G7"/>
  <c r="M4"/>
  <c r="L4"/>
  <c r="L12"/>
  <c r="G8"/>
  <c r="E10"/>
  <c r="D13"/>
  <c r="T9"/>
  <c r="R11"/>
  <c r="W5"/>
  <c r="Q21"/>
  <c r="Q22"/>
  <c r="W6"/>
  <c r="W23"/>
  <c r="W25"/>
  <c r="N6"/>
  <c r="S15"/>
  <c r="O15"/>
  <c r="P10"/>
  <c r="S10"/>
  <c r="P12"/>
  <c r="W16"/>
  <c r="P14"/>
  <c r="V14"/>
  <c r="P13"/>
  <c r="T7"/>
  <c r="S23"/>
  <c r="P4"/>
  <c r="D88"/>
  <c r="W4"/>
  <c r="Q19"/>
  <c r="Q20"/>
  <c r="O16"/>
  <c r="U9"/>
  <c r="O8"/>
  <c r="D84"/>
  <c r="Q24"/>
  <c r="U8"/>
  <c r="V11"/>
  <c r="Q25"/>
  <c r="P6"/>
  <c r="V12"/>
  <c r="S4"/>
  <c r="Q8"/>
  <c r="V4"/>
  <c r="Q18"/>
  <c r="N17"/>
  <c r="O19"/>
  <c r="Q5"/>
  <c r="Q9"/>
  <c r="R6"/>
  <c r="M10"/>
  <c r="F6"/>
  <c r="D10"/>
  <c r="K12"/>
  <c r="M9"/>
  <c r="K9"/>
  <c r="E5"/>
  <c r="M6"/>
  <c r="K11"/>
  <c r="K10"/>
  <c r="M12"/>
  <c r="M11"/>
  <c r="H4"/>
  <c r="G11"/>
  <c r="L8"/>
  <c r="E7"/>
  <c r="H11"/>
  <c r="H5"/>
  <c r="L9"/>
  <c r="D8"/>
  <c r="H6"/>
  <c r="F10"/>
  <c r="F4"/>
  <c r="O21"/>
  <c r="V13"/>
  <c r="O23"/>
  <c r="Q23"/>
  <c r="S12"/>
  <c r="Q4"/>
  <c r="N10"/>
  <c r="S8"/>
  <c r="V10"/>
  <c r="U19"/>
  <c r="Q16"/>
  <c r="U14"/>
  <c r="O22"/>
  <c r="T12"/>
  <c r="S17"/>
  <c r="W8"/>
  <c r="T4"/>
  <c r="R13"/>
  <c r="U10"/>
  <c r="U21"/>
  <c r="T14"/>
  <c r="O7"/>
  <c r="N5"/>
  <c r="Q6"/>
  <c r="S16"/>
  <c r="N16"/>
  <c r="S6"/>
  <c r="W24"/>
  <c r="N11"/>
  <c r="M19"/>
  <c r="R5"/>
  <c r="D82"/>
  <c r="O14"/>
  <c r="V9"/>
  <c r="T13"/>
  <c r="P9"/>
  <c r="U6"/>
  <c r="U22"/>
  <c r="D87"/>
  <c r="O18"/>
  <c r="W15"/>
  <c r="P7"/>
  <c r="W12"/>
  <c r="Q7"/>
  <c r="O17"/>
  <c r="E8"/>
  <c r="E4"/>
  <c r="K8"/>
  <c r="L13"/>
  <c r="E6"/>
  <c r="F5"/>
  <c r="G13"/>
  <c r="K7"/>
  <c r="G10"/>
  <c r="G12"/>
  <c r="D12"/>
  <c r="L11"/>
  <c r="G9"/>
  <c r="L5"/>
  <c r="H12"/>
  <c r="J9"/>
  <c r="G6"/>
  <c r="F7"/>
  <c r="M5"/>
  <c r="E11"/>
  <c r="D5"/>
  <c r="J7"/>
  <c r="L10"/>
  <c r="H9"/>
  <c r="K19"/>
  <c r="O9"/>
  <c r="N8"/>
  <c r="O12"/>
  <c r="N9"/>
  <c r="P11"/>
  <c r="R8"/>
  <c r="T11"/>
  <c r="W14"/>
  <c r="S19"/>
  <c r="S20"/>
  <c r="S22"/>
  <c r="N13"/>
  <c r="U25"/>
  <c r="N20"/>
  <c r="U23"/>
  <c r="N12"/>
  <c r="S13"/>
  <c r="W22"/>
  <c r="D86"/>
  <c r="S9"/>
  <c r="W7"/>
  <c r="P8"/>
  <c r="S7"/>
  <c r="U15"/>
  <c r="W19"/>
  <c r="O24"/>
  <c r="O5"/>
  <c r="Q14"/>
  <c r="S18"/>
  <c r="V8"/>
  <c r="Q10"/>
  <c r="Q13"/>
  <c r="W9"/>
  <c r="U24"/>
  <c r="U12"/>
  <c r="S25"/>
  <c r="R7"/>
  <c r="U5"/>
  <c r="N18"/>
  <c r="Q17"/>
  <c r="S24"/>
  <c r="T6"/>
  <c r="W10"/>
  <c r="W17"/>
  <c r="D9"/>
  <c r="K13"/>
  <c r="E12"/>
  <c r="J4"/>
  <c r="K6"/>
  <c r="H10"/>
  <c r="G5"/>
  <c r="D11"/>
  <c r="L6"/>
  <c r="E13"/>
  <c r="J6"/>
  <c r="M13"/>
  <c r="F9"/>
  <c r="H7"/>
  <c r="D6"/>
  <c r="J11"/>
  <c r="H8"/>
  <c r="H13"/>
  <c r="J8"/>
  <c r="J13"/>
  <c r="I59" l="1"/>
  <c r="J42"/>
  <c r="L42" s="1"/>
  <c r="J48"/>
  <c r="L48" s="1"/>
  <c r="J62"/>
  <c r="J37"/>
  <c r="L37" s="1"/>
  <c r="D42"/>
  <c r="F42" s="1"/>
  <c r="H62"/>
  <c r="D37"/>
  <c r="F37" s="1"/>
  <c r="J40"/>
  <c r="L40" s="1"/>
  <c r="J65"/>
  <c r="D60"/>
  <c r="H61"/>
  <c r="D36"/>
  <c r="F36" s="1"/>
  <c r="M38"/>
  <c r="O38" s="1"/>
  <c r="G38"/>
  <c r="I38" s="1"/>
  <c r="F63"/>
  <c r="I62"/>
  <c r="J35"/>
  <c r="L35" s="1"/>
  <c r="J46"/>
  <c r="L46" s="1"/>
  <c r="J60"/>
  <c r="L60"/>
  <c r="P35"/>
  <c r="R35" s="1"/>
  <c r="D65"/>
  <c r="G59"/>
  <c r="D39"/>
  <c r="F39" s="1"/>
  <c r="H64"/>
  <c r="K60"/>
  <c r="J44"/>
  <c r="L44" s="1"/>
  <c r="J14"/>
  <c r="J33"/>
  <c r="L33" s="1"/>
  <c r="J58"/>
  <c r="E66"/>
  <c r="D63"/>
  <c r="I60"/>
  <c r="E37"/>
  <c r="N86"/>
  <c r="H63"/>
  <c r="D38"/>
  <c r="F38" s="1"/>
  <c r="L64"/>
  <c r="P39"/>
  <c r="R39" s="1"/>
  <c r="J47"/>
  <c r="L47" s="1"/>
  <c r="J36"/>
  <c r="L36" s="1"/>
  <c r="J61"/>
  <c r="D59"/>
  <c r="E65"/>
  <c r="M59"/>
  <c r="M36"/>
  <c r="O36" s="1"/>
  <c r="G36"/>
  <c r="I36" s="1"/>
  <c r="F61"/>
  <c r="G60"/>
  <c r="J63"/>
  <c r="J38"/>
  <c r="L38" s="1"/>
  <c r="J49"/>
  <c r="L49" s="1"/>
  <c r="D41"/>
  <c r="F41" s="1"/>
  <c r="H66"/>
  <c r="P34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F14"/>
  <c r="M33"/>
  <c r="G39"/>
  <c r="I39" s="1"/>
  <c r="M39"/>
  <c r="O39" s="1"/>
  <c r="F64"/>
  <c r="H60"/>
  <c r="H67" s="1"/>
  <c r="D35"/>
  <c r="F35" s="1"/>
  <c r="D62"/>
  <c r="P38"/>
  <c r="R38" s="1"/>
  <c r="L63"/>
  <c r="D34"/>
  <c r="F34" s="1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67" s="1"/>
  <c r="J39"/>
  <c r="L39" s="1"/>
  <c r="F62"/>
  <c r="M37"/>
  <c r="O37" s="1"/>
  <c r="G37"/>
  <c r="I37" s="1"/>
  <c r="K59"/>
  <c r="D14"/>
  <c r="D58"/>
  <c r="I65"/>
  <c r="E36"/>
  <c r="N85"/>
  <c r="E34"/>
  <c r="N83"/>
  <c r="N92" s="1"/>
  <c r="I33"/>
  <c r="R34"/>
  <c r="G120"/>
  <c r="M67" l="1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F43" s="1"/>
  <c r="O33"/>
</calcChain>
</file>

<file path=xl/sharedStrings.xml><?xml version="1.0" encoding="utf-8"?>
<sst xmlns="http://schemas.openxmlformats.org/spreadsheetml/2006/main" count="1061" uniqueCount="246">
  <si>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</si>
  <si>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</si>
  <si>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</si>
  <si>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</si>
  <si>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</si>
  <si>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</si>
  <si>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</si>
  <si>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</si>
  <si>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</si>
  <si>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</si>
  <si>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</si>
  <si>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</si>
  <si>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runningproject</t>
  </si>
  <si>
    <t>Allen Team</t>
  </si>
  <si>
    <t>PC</t>
  </si>
  <si>
    <t>Active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</si>
  <si>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</si>
  <si>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</si>
  <si>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</si>
  <si>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</si>
  <si>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</si>
  <si>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</si>
  <si>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</si>
  <si>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</si>
  <si>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</si>
  <si>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</si>
  <si>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</si>
  <si>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</si>
  <si>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</si>
  <si>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</si>
  <si>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</si>
  <si>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</si>
  <si>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</si>
  <si>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</si>
  <si>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</si>
  <si>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</si>
  <si>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</si>
  <si>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</si>
  <si>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</si>
  <si>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</si>
  <si>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</si>
  <si>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</si>
  <si>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</si>
  <si>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</si>
  <si>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</si>
  <si>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</si>
  <si>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</si>
  <si>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</si>
  <si>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</si>
  <si>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</si>
  <si>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</si>
  <si>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</si>
  <si>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</si>
  <si>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</si>
  <si>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</si>
  <si>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</si>
  <si>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</si>
  <si>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</si>
  <si>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</si>
  <si>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</si>
  <si>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</si>
  <si>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</si>
  <si>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</si>
  <si>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</si>
  <si>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</si>
  <si>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</si>
  <si>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</si>
  <si>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</si>
  <si>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</si>
  <si>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</si>
  <si>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</si>
  <si>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</si>
  <si>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</si>
  <si>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</si>
  <si>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</si>
  <si>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</si>
  <si>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</si>
  <si>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</si>
  <si>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</si>
  <si>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</si>
  <si>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</si>
  <si>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</si>
  <si>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</si>
  <si>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</si>
  <si>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</si>
  <si>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</si>
  <si>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</si>
  <si>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(Multiple Items)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</si>
  <si>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</si>
  <si>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</si>
  <si>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</si>
  <si>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</si>
  <si>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</si>
  <si>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</si>
  <si>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</si>
  <si>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</si>
  <si>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</si>
  <si>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</si>
  <si>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</si>
  <si>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</si>
  <si>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</si>
  <si>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</si>
  <si>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</si>
  <si>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</si>
  <si>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</si>
  <si>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</si>
  <si>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</si>
  <si>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</si>
  <si>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</si>
  <si>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</si>
  <si>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</si>
  <si>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</si>
  <si>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</si>
  <si>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</si>
  <si>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</si>
  <si>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</si>
  <si>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</si>
  <si>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</si>
  <si>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</si>
  <si>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</si>
  <si>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</si>
  <si>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</si>
  <si>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</si>
  <si>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</si>
  <si>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</si>
  <si>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</si>
  <si>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</si>
  <si>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</si>
  <si>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</si>
  <si>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</si>
  <si>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</si>
  <si>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</si>
  <si>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</si>
  <si>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</si>
  <si>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</si>
  <si>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</si>
  <si>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</si>
  <si>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</si>
  <si>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</si>
  <si>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</si>
  <si>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</si>
  <si>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</si>
  <si>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</si>
  <si>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</si>
  <si>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</si>
  <si>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</si>
  <si>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</si>
  <si>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</si>
  <si>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</si>
  <si>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</si>
  <si>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</si>
  <si>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</si>
  <si>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</si>
  <si>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</si>
  <si>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OVERALL (FEB)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</si>
  <si>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</si>
  <si>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</si>
  <si>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</si>
  <si>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</si>
  <si>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</si>
  <si>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</si>
  <si>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</si>
  <si>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</si>
  <si>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</si>
  <si>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</si>
  <si>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</si>
  <si>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</si>
  <si>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</si>
  <si>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</si>
  <si>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</si>
  <si>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</si>
  <si>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</si>
  <si>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</si>
  <si>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</si>
  <si>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</si>
  <si>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</si>
  <si>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</si>
  <si>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</si>
  <si>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</si>
  <si>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</si>
  <si>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</si>
  <si>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</si>
  <si>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</si>
  <si>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</si>
  <si>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</si>
  <si>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</si>
  <si>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</si>
  <si>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</si>
  <si>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</si>
  <si>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</si>
  <si>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</si>
  <si>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</si>
  <si>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</si>
  <si>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</si>
  <si>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</si>
  <si>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</si>
  <si>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</si>
  <si>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</si>
  <si>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</si>
  <si>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</si>
  <si>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</si>
  <si>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</si>
  <si>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MOTOR ELECTRIC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</si>
  <si>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</si>
  <si>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</si>
  <si>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</si>
  <si>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</si>
  <si>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</si>
  <si>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</si>
  <si>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</si>
  <si>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</si>
  <si>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</si>
  <si>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</si>
  <si>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</si>
  <si>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</si>
  <si>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</si>
  <si>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</si>
  <si>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</si>
  <si>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</si>
  <si>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</si>
  <si>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</si>
  <si>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</si>
  <si>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</si>
  <si>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</si>
  <si>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</si>
  <si>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</si>
  <si>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</si>
  <si>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</si>
  <si>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</si>
  <si>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</si>
  <si>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</si>
  <si>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</si>
  <si>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</si>
  <si>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</si>
  <si>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</si>
  <si>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</si>
  <si>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</si>
  <si>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</si>
  <si>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</si>
  <si>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</si>
  <si>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</si>
  <si>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</si>
  <si>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</si>
  <si>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Total</t>
  </si>
  <si>
    <t>(blank)</t>
  </si>
  <si>
    <t>(blank) Total</t>
  </si>
</sst>
</file>

<file path=xl/styles.xml><?xml version="1.0" encoding="utf-8"?>
<styleSheet xmlns="http://schemas.openxmlformats.org/spreadsheetml/2006/main">
  <numFmts count="3">
    <numFmt numFmtId="41" formatCode="_(* #,##0_);_(* \(#,##0\);_(* &quot;-&quot;_);_(@_)"/>
    <numFmt numFmtId="164" formatCode="_-* #,##0.00_-;\-* #,##0.00_-;_-* &quot;-&quot;??_-;_-@_-"/>
    <numFmt numFmtId="165" formatCode="[$-409]d\-mmm\-yyyy;@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796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41" fontId="5" fillId="8" borderId="32" xfId="38" applyNumberFormat="1" applyFont="1" applyFill="1" applyBorder="1" applyAlignment="1" applyProtection="1">
      <alignment horizontal="right" vertical="center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NumberFormat="1" applyFill="1"/>
    <xf numFmtId="0" fontId="0" fillId="0" borderId="0" xfId="0" applyFill="1"/>
    <xf numFmtId="14" fontId="0" fillId="0" borderId="0" xfId="0" applyNumberFormat="1" applyFill="1"/>
    <xf numFmtId="14" fontId="0" fillId="0" borderId="0" xfId="0" applyNumberFormat="1"/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7" borderId="93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268.432343749999" missingItemsLimit="0" createdVersion="3" refreshedVersion="3" minRefreshableVersion="3" recordCount="385">
  <cacheSource type="worksheet">
    <worksheetSource name="dbrange"/>
  </cacheSource>
  <cacheFields count="44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193" maxValue="955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ntainsBlank="1" count="16">
        <s v="PC"/>
        <s v="H.Clean"/>
        <s v="SA"/>
        <s v="BnB"/>
        <s v="H.Comf"/>
        <s v="LC"/>
        <s v="FP"/>
        <s v="EC"/>
        <m/>
        <s v="CK"/>
        <s v="Total FP"/>
        <s v="Total HPC"/>
        <s v="Total KE + HPC"/>
        <s v="Total SA"/>
        <s v="Total KE"/>
        <s v="Total CW"/>
      </sharedItems>
    </cacheField>
    <cacheField name="projectname" numFmtId="0">
      <sharedItems/>
    </cacheField>
    <cacheField name="statusname" numFmtId="0">
      <sharedItems count="2">
        <s v="Active"/>
        <s v="Stop"/>
      </sharedItems>
    </cacheField>
    <cacheField name="shortname" numFmtId="0">
      <sharedItems containsBlank="1" count="33">
        <s v="KRELL"/>
        <s v="YUELI"/>
        <s v="BANGSHOU"/>
        <s v="EUP"/>
        <s v="YUDA"/>
        <s v="AIRTEK"/>
        <s v="SUN LUEN"/>
        <s v="CRASTAL"/>
        <s v="AIRMATE"/>
        <s v="TSANN KUEN"/>
        <s v="SIMATELEX"/>
        <s v="WIK"/>
        <s v="KENFORD"/>
        <s v="FAIRFORM"/>
        <s v="DONLIM"/>
        <s v="YIDA"/>
        <s v="HALLSMART"/>
        <s v="MAINPOWER"/>
        <s v="ALLAN"/>
        <s v="MOTOR"/>
        <s v="HOMEZEST"/>
        <m/>
        <s v="FUXIN"/>
        <s v="YORKWELL"/>
        <s v="DEFOND"/>
        <s v="WING KEUNG"/>
        <s v="H3"/>
        <s v="VS"/>
        <s v="NEW LEAF"/>
        <s v="TEAM CONCEPT"/>
        <s v="SSI"/>
        <s v="LINKFAIR"/>
        <s v="TECHLINK"/>
      </sharedItems>
    </cacheField>
    <cacheField name="Project Type" numFmtId="0">
      <sharedItems containsBlank="1" count="3">
        <s v="OEM/ODM"/>
        <s v="PPSA"/>
        <m/>
      </sharedItems>
    </cacheField>
    <cacheField name="signed_date" numFmtId="0">
      <sharedItems containsNonDate="0" containsDate="1" containsString="0" containsBlank="1" minDate="2015-01-01T00:00:00" maxDate="2015-02-02T00:00:00"/>
    </cacheField>
    <cacheField name="postingdate" numFmtId="165">
      <sharedItems containsSemiMixedTypes="0" containsNonDate="0" containsDate="1" containsString="0" minDate="2015-01-01T00:00:00" maxDate="2015-02-02T00:00:00" count="2">
        <d v="2015-02-01T00:00:00"/>
        <d v="2015-01-01T00:00:00"/>
      </sharedItems>
      <fieldGroup par="38" base="10">
        <rangePr groupBy="months" startDate="2015-01-01T00:00:00" endDate="2015-02-02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/2015"/>
        </groupItems>
      </fieldGroup>
    </cacheField>
    <cacheField name="Project Phase" numFmtId="0">
      <sharedItems containsBlank="1" count="9">
        <s v="RP4 Price"/>
        <s v="RP4 On Time"/>
        <s v="4. RAMP UP"/>
        <s v="2. RP4"/>
        <s v="3. PSA/RRA"/>
        <s v="1. RP2"/>
        <s v="5. RP5 Closure"/>
        <m/>
        <s v="RP1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5" count="14">
        <m/>
        <n v="5"/>
        <n v="4"/>
        <n v="6"/>
        <n v="14"/>
        <n v="10"/>
        <n v="1"/>
        <n v="11"/>
        <n v="8"/>
        <n v="2"/>
        <n v="9"/>
        <n v="7"/>
        <n v="15"/>
        <n v="3"/>
      </sharedItems>
    </cacheField>
    <cacheField name="panel" numFmtId="0">
      <sharedItems containsBlank="1"/>
    </cacheField>
    <cacheField name="RP1" numFmtId="0">
      <sharedItems containsString="0" containsBlank="1" containsNumber="1" containsInteger="1" minValue="1" maxValue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0"/>
    </cacheField>
    <cacheField name="Price Variance" numFmtId="0">
      <sharedItems containsString="0" containsBlank="1" containsNumber="1" containsInteger="1" minValue="0" maxValue="0"/>
    </cacheField>
    <cacheField name="RP5 Closure Failed" numFmtId="0">
      <sharedItems containsString="0" containsBlank="1" containsNumber="1" containsInteger="1" minValue="0" maxValue="0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totalproject" numFmtId="0">
      <sharedItems containsString="0" containsBlank="1" containsNumber="1" containsInteger="1" minValue="1" maxValue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String="0" containsBlank="1" containsNumber="1" containsInteger="1" minValue="1" maxValue="1"/>
    </cacheField>
    <cacheField name="Area" numFmtId="0">
      <sharedItems/>
    </cacheField>
    <cacheField name="Years" numFmtId="0" databaseField="0">
      <fieldGroup base="10">
        <rangePr groupBy="years" startDate="2015-01-01T00:00:00" endDate="2015-02-02T00:00:00"/>
        <groupItems count="3">
          <s v="&lt;1/1/2015"/>
          <s v="2015"/>
          <s v="&gt;2/2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5">
  <r>
    <x v="0"/>
    <n v="659"/>
    <x v="0"/>
    <s v="KEVIN LI"/>
    <x v="0"/>
    <s v="11-5286-00_BA EVOLIS BODY SIGNAL_KRELL"/>
    <x v="0"/>
    <x v="0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800"/>
    <x v="0"/>
    <s v="KEVIN LI"/>
    <x v="0"/>
    <s v="11-5286-00_BA EVOLIS BODY SIGNAL_KRELL"/>
    <x v="0"/>
    <x v="0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935"/>
    <x v="0"/>
    <s v="KEVIN LI"/>
    <x v="0"/>
    <s v="11-5286-00_BA EVOLIS BODY SIGNAL_KRELL"/>
    <x v="0"/>
    <x v="0"/>
    <x v="0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0"/>
    <s v="11-5286-00_BA EVOLIS BODY SIGNAL_KRELL"/>
    <x v="0"/>
    <x v="0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518"/>
    <x v="0"/>
    <s v="KEVIN LI"/>
    <x v="0"/>
    <s v="Bubble Tong 0835 - YUELI"/>
    <x v="0"/>
    <x v="1"/>
    <x v="1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0"/>
    <n v="519"/>
    <x v="0"/>
    <s v="KEVIN LI"/>
    <x v="0"/>
    <s v="Curler Brush 0829 - YUELI"/>
    <x v="0"/>
    <x v="1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0"/>
    <n v="473"/>
    <x v="0"/>
    <s v="KEVIN LI"/>
    <x v="0"/>
    <s v="Hair Dryer Nomad2 - YUELI"/>
    <x v="0"/>
    <x v="1"/>
    <x v="1"/>
    <d v="2015-01-01T00:00:00"/>
    <x v="1"/>
    <x v="4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626"/>
    <x v="0"/>
    <s v="KEVIN LI"/>
    <x v="0"/>
    <s v="Hair Dryer Nomad2 - YUELI"/>
    <x v="0"/>
    <x v="1"/>
    <x v="1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767"/>
    <x v="0"/>
    <s v="KEVIN LI"/>
    <x v="0"/>
    <s v="Hair Dryer Nomad2 - YUELI"/>
    <x v="0"/>
    <x v="1"/>
    <x v="1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0"/>
    <m/>
    <x v="0"/>
    <s v="KEVIN LI"/>
    <x v="0"/>
    <s v="Hair Dryer Nomad2 - YUELI"/>
    <x v="0"/>
    <x v="1"/>
    <x v="1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915"/>
    <x v="0"/>
    <s v="KEVIN LI"/>
    <x v="0"/>
    <s v="Nomad-4 Hair Clipper 0799 - Bangshou [Nomad3 Hair Clipper - Bangshou at early 2014] [Nomad2 Hair Clipper - Bangshou at 2013]"/>
    <x v="0"/>
    <x v="2"/>
    <x v="1"/>
    <d v="2015-02-01T00:00:00"/>
    <x v="0"/>
    <x v="2"/>
    <m/>
    <n v="1"/>
    <m/>
    <x v="0"/>
    <m/>
    <m/>
    <m/>
    <m/>
    <m/>
    <m/>
    <m/>
    <n v="1"/>
    <m/>
    <m/>
    <m/>
    <n v="0"/>
    <m/>
    <m/>
    <m/>
    <m/>
    <n v="1"/>
    <m/>
    <m/>
    <m/>
    <m/>
    <s v="North"/>
  </r>
  <r>
    <x v="0"/>
    <n v="402"/>
    <x v="0"/>
    <s v="KEVIN LI"/>
    <x v="0"/>
    <s v="OPTISS BAMBOO-KRELL"/>
    <x v="0"/>
    <x v="0"/>
    <x v="0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North"/>
  </r>
  <r>
    <x v="0"/>
    <n v="854"/>
    <x v="0"/>
    <s v="ROBIN LU"/>
    <x v="1"/>
    <s v="Cityspac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0"/>
    <n v="852"/>
    <x v="0"/>
    <s v="ROBIN LU"/>
    <x v="1"/>
    <s v="Compacteo ERGO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0"/>
    <n v="853"/>
    <x v="0"/>
    <s v="ROBIN LU"/>
    <x v="1"/>
    <s v="PowerLin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0"/>
    <n v="851"/>
    <x v="0"/>
    <s v="ROBIN LU"/>
    <x v="1"/>
    <s v="PowerSpac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0"/>
    <n v="381"/>
    <x v="0"/>
    <s v="ROBIN LU"/>
    <x v="1"/>
    <s v="Steam and Vacuum cleaner - EUP"/>
    <x v="0"/>
    <x v="3"/>
    <x v="0"/>
    <d v="2015-01-01T00:00:00"/>
    <x v="1"/>
    <x v="5"/>
    <s v="RP3-RP4"/>
    <m/>
    <m/>
    <x v="1"/>
    <s v="A"/>
    <m/>
    <n v="1"/>
    <m/>
    <m/>
    <m/>
    <m/>
    <m/>
    <m/>
    <m/>
    <m/>
    <m/>
    <m/>
    <m/>
    <m/>
    <m/>
    <n v="1"/>
    <m/>
    <n v="1"/>
    <m/>
    <n v="1"/>
    <s v="North"/>
  </r>
  <r>
    <x v="0"/>
    <n v="514"/>
    <x v="0"/>
    <s v="ROBIN LU"/>
    <x v="2"/>
    <s v="GRL Iron rest subset-YUDA"/>
    <x v="0"/>
    <x v="4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669"/>
    <x v="0"/>
    <s v="ROBIN LU"/>
    <x v="2"/>
    <s v="GRL Iron rest subset-YUDA"/>
    <x v="0"/>
    <x v="4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810"/>
    <x v="0"/>
    <s v="ROBIN LU"/>
    <x v="2"/>
    <s v="GRL Iron rest subset-YUDA"/>
    <x v="0"/>
    <x v="4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0"/>
    <m/>
    <x v="0"/>
    <s v="ROBIN LU"/>
    <x v="2"/>
    <s v="GRL Iron rest subset-YUDA"/>
    <x v="0"/>
    <x v="4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413"/>
    <x v="1"/>
    <s v="BENNY CHAU"/>
    <x v="1"/>
    <s v="20-0203-00-AF360 - Airtek"/>
    <x v="0"/>
    <x v="5"/>
    <x v="0"/>
    <d v="2015-02-01T00:00:00"/>
    <x v="0"/>
    <x v="5"/>
    <s v="RP3-RP4"/>
    <m/>
    <m/>
    <x v="2"/>
    <s v="A"/>
    <m/>
    <n v="1"/>
    <m/>
    <m/>
    <m/>
    <m/>
    <m/>
    <m/>
    <m/>
    <m/>
    <m/>
    <m/>
    <m/>
    <m/>
    <m/>
    <n v="1"/>
    <m/>
    <n v="1"/>
    <m/>
    <n v="1"/>
    <s v="South"/>
  </r>
  <r>
    <x v="0"/>
    <n v="396"/>
    <x v="1"/>
    <s v="BENNY CHAU"/>
    <x v="0"/>
    <s v="Basic curling tong - Sun Luen"/>
    <x v="0"/>
    <x v="6"/>
    <x v="1"/>
    <d v="2015-01-01T00:00:00"/>
    <x v="1"/>
    <x v="5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0"/>
    <n v="498"/>
    <x v="1"/>
    <s v="BENNY CHAU"/>
    <x v="0"/>
    <s v="New infini pro 0795-Sun Luen"/>
    <x v="0"/>
    <x v="6"/>
    <x v="0"/>
    <d v="2015-01-01T00:00:00"/>
    <x v="1"/>
    <x v="4"/>
    <m/>
    <n v="1"/>
    <m/>
    <x v="3"/>
    <s v="A"/>
    <m/>
    <m/>
    <n v="1"/>
    <m/>
    <m/>
    <m/>
    <m/>
    <m/>
    <n v="0"/>
    <m/>
    <m/>
    <m/>
    <m/>
    <m/>
    <m/>
    <m/>
    <m/>
    <m/>
    <m/>
    <m/>
    <s v="South"/>
  </r>
  <r>
    <x v="0"/>
    <n v="651"/>
    <x v="1"/>
    <s v="BENNY CHAU"/>
    <x v="0"/>
    <s v="New infini pro 0795-Sun Luen"/>
    <x v="0"/>
    <x v="6"/>
    <x v="0"/>
    <d v="2015-02-01T00:00:00"/>
    <x v="0"/>
    <x v="0"/>
    <s v="RP5 Closure"/>
    <n v="1"/>
    <m/>
    <x v="3"/>
    <s v="A"/>
    <m/>
    <m/>
    <m/>
    <m/>
    <n v="1"/>
    <m/>
    <m/>
    <m/>
    <m/>
    <m/>
    <m/>
    <n v="0"/>
    <m/>
    <m/>
    <m/>
    <m/>
    <m/>
    <m/>
    <m/>
    <m/>
    <s v="South"/>
  </r>
  <r>
    <x v="0"/>
    <n v="792"/>
    <x v="1"/>
    <s v="BENNY CHAU"/>
    <x v="0"/>
    <s v="New infini pro 0795-Sun Luen"/>
    <x v="0"/>
    <x v="6"/>
    <x v="0"/>
    <d v="2015-02-01T00:00:00"/>
    <x v="0"/>
    <x v="1"/>
    <s v="RP5 Closure"/>
    <n v="1"/>
    <m/>
    <x v="3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BENNY CHAU"/>
    <x v="0"/>
    <s v="New infini pro 0795-Sun Luen"/>
    <x v="0"/>
    <x v="6"/>
    <x v="0"/>
    <d v="2015-02-01T00:00:00"/>
    <x v="0"/>
    <x v="3"/>
    <m/>
    <n v="1"/>
    <m/>
    <x v="3"/>
    <s v="A"/>
    <m/>
    <m/>
    <m/>
    <n v="1"/>
    <m/>
    <m/>
    <m/>
    <m/>
    <m/>
    <m/>
    <m/>
    <m/>
    <m/>
    <m/>
    <m/>
    <m/>
    <m/>
    <m/>
    <n v="1"/>
    <m/>
    <s v="South"/>
  </r>
  <r>
    <x v="0"/>
    <n v="427"/>
    <x v="1"/>
    <s v="BRENDA HUI"/>
    <x v="3"/>
    <s v="sdsddf"/>
    <x v="0"/>
    <x v="7"/>
    <x v="1"/>
    <m/>
    <x v="1"/>
    <x v="7"/>
    <m/>
    <m/>
    <m/>
    <x v="0"/>
    <m/>
    <m/>
    <m/>
    <m/>
    <m/>
    <m/>
    <m/>
    <m/>
    <m/>
    <m/>
    <m/>
    <m/>
    <m/>
    <m/>
    <m/>
    <m/>
    <n v="1"/>
    <m/>
    <m/>
    <m/>
    <m/>
    <s v="South"/>
  </r>
  <r>
    <x v="0"/>
    <n v="414"/>
    <x v="1"/>
    <s v="KAM CHOW"/>
    <x v="4"/>
    <s v="23-0311-14-Flat Fan Heater - Airmate"/>
    <x v="0"/>
    <x v="8"/>
    <x v="0"/>
    <d v="2015-02-01T00:00:00"/>
    <x v="0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n v="1"/>
    <s v="South"/>
  </r>
  <r>
    <x v="0"/>
    <n v="404"/>
    <x v="1"/>
    <s v="KAM CHOW"/>
    <x v="4"/>
    <s v="Bamboo Fan - Airmate"/>
    <x v="0"/>
    <x v="8"/>
    <x v="0"/>
    <d v="2015-01-01T00:00:00"/>
    <x v="1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n v="1"/>
    <s v="South"/>
  </r>
  <r>
    <x v="0"/>
    <n v="405"/>
    <x v="1"/>
    <s v="KAM CHOW"/>
    <x v="4"/>
    <s v="Flat fan heater - Airmate"/>
    <x v="0"/>
    <x v="8"/>
    <x v="0"/>
    <d v="2015-01-01T00:00:00"/>
    <x v="1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0"/>
    <n v="200"/>
    <x v="1"/>
    <s v="KAM CHOW"/>
    <x v="4"/>
    <s v="Humidifer baby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0"/>
    <n v="199"/>
    <x v="1"/>
    <s v="KAM CHOW"/>
    <x v="4"/>
    <s v="Turbo Silence Fan upgrade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0"/>
    <n v="201"/>
    <x v="1"/>
    <s v="KAM CHOW"/>
    <x v="4"/>
    <s v="Turbo Silence Fan US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0"/>
    <n v="409"/>
    <x v="1"/>
    <s v="KAM CHOW"/>
    <x v="5"/>
    <s v="SWA pump 5 bars - TK"/>
    <x v="0"/>
    <x v="9"/>
    <x v="1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0"/>
    <n v="408"/>
    <x v="1"/>
    <s v="KAM CHOW"/>
    <x v="0"/>
    <s v="nano steam v2 - SMT"/>
    <x v="0"/>
    <x v="10"/>
    <x v="0"/>
    <d v="2015-01-01T00:00:00"/>
    <x v="1"/>
    <x v="5"/>
    <s v="RP3-RP4"/>
    <m/>
    <m/>
    <x v="5"/>
    <s v="A"/>
    <m/>
    <n v="1"/>
    <m/>
    <m/>
    <m/>
    <m/>
    <m/>
    <m/>
    <m/>
    <m/>
    <m/>
    <m/>
    <m/>
    <m/>
    <m/>
    <n v="1"/>
    <m/>
    <n v="1"/>
    <m/>
    <n v="1"/>
    <s v="South"/>
  </r>
  <r>
    <x v="0"/>
    <n v="198"/>
    <x v="1"/>
    <s v="KAM CHOW"/>
    <x v="0"/>
    <s v="Nano steam v3 - SMT"/>
    <x v="0"/>
    <x v="10"/>
    <x v="0"/>
    <d v="2015-01-01T00:00:00"/>
    <x v="1"/>
    <x v="8"/>
    <s v="RP1-RP2"/>
    <m/>
    <m/>
    <x v="5"/>
    <s v="A"/>
    <n v="1"/>
    <m/>
    <m/>
    <m/>
    <m/>
    <m/>
    <m/>
    <m/>
    <m/>
    <m/>
    <m/>
    <m/>
    <m/>
    <m/>
    <m/>
    <n v="1"/>
    <n v="1"/>
    <m/>
    <m/>
    <n v="1"/>
    <s v="South"/>
  </r>
  <r>
    <x v="0"/>
    <n v="406"/>
    <x v="1"/>
    <s v="KAM CHOW"/>
    <x v="0"/>
    <s v="Premium AC HD - WIK"/>
    <x v="0"/>
    <x v="11"/>
    <x v="0"/>
    <d v="2015-01-01T00:00:00"/>
    <x v="1"/>
    <x v="5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0"/>
    <n v="407"/>
    <x v="1"/>
    <s v="KAM CHOW"/>
    <x v="0"/>
    <s v="Ultimate styler - KF"/>
    <x v="0"/>
    <x v="12"/>
    <x v="0"/>
    <d v="2015-01-01T00:00:00"/>
    <x v="1"/>
    <x v="5"/>
    <s v="RP3-RP4"/>
    <m/>
    <m/>
    <x v="7"/>
    <s v="A"/>
    <m/>
    <n v="1"/>
    <m/>
    <m/>
    <m/>
    <m/>
    <m/>
    <m/>
    <m/>
    <m/>
    <m/>
    <m/>
    <m/>
    <m/>
    <m/>
    <n v="1"/>
    <m/>
    <n v="1"/>
    <m/>
    <m/>
    <s v="South"/>
  </r>
  <r>
    <x v="0"/>
    <n v="510"/>
    <x v="1"/>
    <s v="KAM CHOW"/>
    <x v="0"/>
    <s v="W&amp;D2 trimmer - Fairform"/>
    <x v="0"/>
    <x v="13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920"/>
    <x v="2"/>
    <s v="ALBERT CHAN"/>
    <x v="6"/>
    <s v="35-2119-29_Bahia Food Processer Brazil_Donlim [BAHIA Food Processor for Brazil - Donlim]"/>
    <x v="0"/>
    <x v="14"/>
    <x v="1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936"/>
    <x v="2"/>
    <s v="ERIC OU"/>
    <x v="7"/>
    <s v="18-0129-00 - BURNT RICE - YIDA"/>
    <x v="0"/>
    <x v="15"/>
    <x v="0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397"/>
    <x v="2"/>
    <s v="ERIC OU"/>
    <x v="7"/>
    <s v="35-0013-00 - COLOMBIA RICE COOKER - Hallsmart"/>
    <x v="0"/>
    <x v="16"/>
    <x v="1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537"/>
    <x v="2"/>
    <s v="GARY FENG"/>
    <x v="6"/>
    <s v="18-0063-00 - 3mix 9000 stripe whisk - Main Power"/>
    <x v="0"/>
    <x v="17"/>
    <x v="0"/>
    <d v="2015-01-01T00:00:00"/>
    <x v="1"/>
    <x v="4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681"/>
    <x v="2"/>
    <s v="GARY FENG"/>
    <x v="6"/>
    <s v="18-0063-00 - 3mix 9000 stripe whisk - Main Power"/>
    <x v="0"/>
    <x v="17"/>
    <x v="0"/>
    <d v="2015-01-01T00:00:00"/>
    <x v="1"/>
    <x v="0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822"/>
    <x v="2"/>
    <s v="GARY FENG"/>
    <x v="6"/>
    <s v="18-0063-00 - 3mix 9000 stripe whisk - Main Power"/>
    <x v="0"/>
    <x v="17"/>
    <x v="0"/>
    <d v="2015-01-01T00:00:00"/>
    <x v="1"/>
    <x v="1"/>
    <s v="RP5 Closure"/>
    <n v="1"/>
    <m/>
    <x v="8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GARY FENG"/>
    <x v="6"/>
    <s v="18-0063-00 - 3mix 9000 stripe whisk - Main Power"/>
    <x v="0"/>
    <x v="17"/>
    <x v="0"/>
    <d v="2015-01-01T00:00:00"/>
    <x v="1"/>
    <x v="3"/>
    <m/>
    <n v="1"/>
    <m/>
    <x v="8"/>
    <s v="A"/>
    <m/>
    <m/>
    <m/>
    <n v="1"/>
    <m/>
    <m/>
    <m/>
    <m/>
    <m/>
    <m/>
    <m/>
    <m/>
    <m/>
    <m/>
    <m/>
    <m/>
    <m/>
    <m/>
    <n v="1"/>
    <m/>
    <s v="South"/>
  </r>
  <r>
    <x v="0"/>
    <n v="193"/>
    <x v="2"/>
    <s v="GARY FENG"/>
    <x v="6"/>
    <s v="18-0134-00 - 3mix 5000 Successor Hand Mixer - Allan"/>
    <x v="0"/>
    <x v="18"/>
    <x v="0"/>
    <d v="2015-01-01T00:00:00"/>
    <x v="1"/>
    <x v="8"/>
    <s v="RP1-RP2"/>
    <m/>
    <m/>
    <x v="9"/>
    <s v="A"/>
    <n v="1"/>
    <m/>
    <m/>
    <m/>
    <m/>
    <m/>
    <m/>
    <m/>
    <m/>
    <m/>
    <m/>
    <m/>
    <m/>
    <m/>
    <m/>
    <n v="1"/>
    <n v="1"/>
    <m/>
    <m/>
    <m/>
    <s v="South"/>
  </r>
  <r>
    <x v="0"/>
    <n v="564"/>
    <x v="2"/>
    <s v="GARY FENG"/>
    <x v="6"/>
    <s v="19-2045-00 - HT3 hand mixer (color variant) - Allan"/>
    <x v="0"/>
    <x v="18"/>
    <x v="0"/>
    <d v="2015-01-01T00:00:00"/>
    <x v="1"/>
    <x v="4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0"/>
    <n v="377"/>
    <x v="2"/>
    <s v="GARY FENG"/>
    <x v="6"/>
    <s v="29-0084-00 - Anthemis - Main Power"/>
    <x v="0"/>
    <x v="17"/>
    <x v="0"/>
    <d v="2015-01-01T00:00:00"/>
    <x v="1"/>
    <x v="5"/>
    <s v="RP3-RP4"/>
    <m/>
    <m/>
    <x v="8"/>
    <s v="A"/>
    <m/>
    <n v="1"/>
    <m/>
    <m/>
    <m/>
    <m/>
    <m/>
    <m/>
    <m/>
    <m/>
    <m/>
    <m/>
    <m/>
    <m/>
    <m/>
    <n v="1"/>
    <m/>
    <n v="1"/>
    <m/>
    <n v="1"/>
    <s v="South"/>
  </r>
  <r>
    <x v="0"/>
    <n v="197"/>
    <x v="2"/>
    <s v="GARY FENG"/>
    <x v="6"/>
    <s v="35-2137-19 - Amazon Coffee Grinder - Motor Electric"/>
    <x v="0"/>
    <x v="19"/>
    <x v="1"/>
    <d v="2015-01-01T00:00:00"/>
    <x v="1"/>
    <x v="8"/>
    <s v="RP1-RP2"/>
    <m/>
    <m/>
    <x v="10"/>
    <s v="A"/>
    <n v="1"/>
    <m/>
    <m/>
    <m/>
    <m/>
    <m/>
    <m/>
    <m/>
    <m/>
    <m/>
    <m/>
    <m/>
    <m/>
    <m/>
    <m/>
    <m/>
    <n v="1"/>
    <m/>
    <m/>
    <n v="1"/>
    <s v="South"/>
  </r>
  <r>
    <x v="0"/>
    <n v="403"/>
    <x v="2"/>
    <s v="GARY FENG"/>
    <x v="6"/>
    <s v="35-2137-19 - Amazon Coffee Grinder - Motor Electric"/>
    <x v="0"/>
    <x v="19"/>
    <x v="1"/>
    <d v="2015-02-01T00:00:00"/>
    <x v="0"/>
    <x v="5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0"/>
    <n v="194"/>
    <x v="3"/>
    <s v="ALBERT CHAN"/>
    <x v="3"/>
    <s v="18-0155-00_New F183_Homezest"/>
    <x v="0"/>
    <x v="20"/>
    <x v="0"/>
    <d v="2015-01-01T00:00:00"/>
    <x v="1"/>
    <x v="8"/>
    <s v="RP1-RP2"/>
    <m/>
    <m/>
    <x v="11"/>
    <s v="A"/>
    <n v="1"/>
    <m/>
    <m/>
    <m/>
    <m/>
    <m/>
    <m/>
    <m/>
    <m/>
    <m/>
    <m/>
    <m/>
    <m/>
    <m/>
    <m/>
    <m/>
    <n v="1"/>
    <m/>
    <m/>
    <n v="1"/>
    <s v="South"/>
  </r>
  <r>
    <x v="0"/>
    <n v="399"/>
    <x v="3"/>
    <s v="ALBERT CHAN"/>
    <x v="3"/>
    <s v="18-0155-00_New F183_Homezest"/>
    <x v="0"/>
    <x v="20"/>
    <x v="0"/>
    <d v="2015-02-01T00:00:00"/>
    <x v="0"/>
    <x v="5"/>
    <s v="RP3-RP4"/>
    <m/>
    <m/>
    <x v="11"/>
    <s v="A"/>
    <m/>
    <n v="1"/>
    <m/>
    <m/>
    <m/>
    <m/>
    <m/>
    <m/>
    <m/>
    <m/>
    <m/>
    <m/>
    <m/>
    <m/>
    <m/>
    <n v="1"/>
    <m/>
    <n v="1"/>
    <m/>
    <n v="1"/>
    <s v="South"/>
  </r>
  <r>
    <x v="0"/>
    <n v="953"/>
    <x v="3"/>
    <s v="ALBERT CHAN"/>
    <x v="3"/>
    <s v="35-1128-18_Spirit Of Tea Metal_DONLIM"/>
    <x v="0"/>
    <x v="14"/>
    <x v="1"/>
    <d v="2015-01-01T00:00:00"/>
    <x v="1"/>
    <x v="2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0"/>
    <n v="954"/>
    <x v="3"/>
    <s v="ALBERT CHAN"/>
    <x v="3"/>
    <s v="35-1129-18_Spirit Of Tea Plastic_DONLIM"/>
    <x v="0"/>
    <x v="14"/>
    <x v="1"/>
    <d v="2015-01-01T00:00:00"/>
    <x v="1"/>
    <x v="2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0"/>
    <n v="562"/>
    <x v="3"/>
    <s v="ALBERT CHAN"/>
    <x v="3"/>
    <s v="35-1134-18_CM306 PMS_Homezest"/>
    <x v="0"/>
    <x v="20"/>
    <x v="1"/>
    <d v="2015-02-01T00:00:00"/>
    <x v="0"/>
    <x v="4"/>
    <m/>
    <n v="1"/>
    <m/>
    <x v="11"/>
    <s v="A"/>
    <m/>
    <m/>
    <n v="1"/>
    <m/>
    <m/>
    <m/>
    <m/>
    <m/>
    <n v="0"/>
    <m/>
    <m/>
    <m/>
    <m/>
    <m/>
    <m/>
    <m/>
    <m/>
    <m/>
    <m/>
    <m/>
    <s v="South"/>
  </r>
  <r>
    <x v="0"/>
    <n v="704"/>
    <x v="3"/>
    <s v="ALBERT CHAN"/>
    <x v="3"/>
    <s v="35-1134-18_CM306 PMS_Homezest"/>
    <x v="0"/>
    <x v="20"/>
    <x v="1"/>
    <d v="2015-02-01T00:00:00"/>
    <x v="0"/>
    <x v="0"/>
    <s v="RP5 Closure"/>
    <n v="1"/>
    <m/>
    <x v="11"/>
    <s v="A"/>
    <m/>
    <m/>
    <m/>
    <m/>
    <n v="1"/>
    <m/>
    <m/>
    <m/>
    <m/>
    <m/>
    <m/>
    <n v="0"/>
    <m/>
    <m/>
    <m/>
    <m/>
    <m/>
    <m/>
    <m/>
    <m/>
    <s v="South"/>
  </r>
  <r>
    <x v="0"/>
    <n v="845"/>
    <x v="3"/>
    <s v="ALBERT CHAN"/>
    <x v="3"/>
    <s v="35-1134-18_CM306 PMS_Homezest"/>
    <x v="0"/>
    <x v="20"/>
    <x v="1"/>
    <d v="2015-02-01T00:00:00"/>
    <x v="0"/>
    <x v="1"/>
    <s v="RP5 Closure"/>
    <n v="1"/>
    <m/>
    <x v="11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3"/>
    <s v="ALBERT CHAN"/>
    <x v="3"/>
    <s v="35-1134-18_CM306 PMS_Homezest"/>
    <x v="0"/>
    <x v="20"/>
    <x v="1"/>
    <d v="2015-02-01T00:00:00"/>
    <x v="0"/>
    <x v="3"/>
    <m/>
    <n v="1"/>
    <m/>
    <x v="11"/>
    <s v="A"/>
    <m/>
    <m/>
    <m/>
    <n v="1"/>
    <m/>
    <m/>
    <m/>
    <m/>
    <m/>
    <m/>
    <m/>
    <m/>
    <m/>
    <m/>
    <m/>
    <m/>
    <m/>
    <m/>
    <n v="1"/>
    <m/>
    <s v="South"/>
  </r>
  <r>
    <x v="0"/>
    <n v="859"/>
    <x v="3"/>
    <s v="ALBERT CHAN"/>
    <x v="8"/>
    <s v="28-0021-00_CM806 Korea_Homezest (CM806 Aprecia SS Mini Korea_Homezest)"/>
    <x v="1"/>
    <x v="21"/>
    <x v="2"/>
    <d v="2015-02-01T00:00:00"/>
    <x v="0"/>
    <x v="6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0"/>
    <n v="202"/>
    <x v="3"/>
    <s v="CYRIL CHOI"/>
    <x v="3"/>
    <s v="Mini tender- Vanilla Octopussy( FUXIN)"/>
    <x v="0"/>
    <x v="2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847"/>
    <x v="3"/>
    <s v="CYRIL CHOI"/>
    <x v="3"/>
    <s v="Minitender - Vanilla - Fuxin"/>
    <x v="0"/>
    <x v="22"/>
    <x v="0"/>
    <d v="2015-02-01T00:00:00"/>
    <x v="0"/>
    <x v="6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93"/>
    <x v="3"/>
    <s v="ERIC CHAN"/>
    <x v="3"/>
    <s v="35-1127-18-Express 2LS-YW"/>
    <x v="0"/>
    <x v="23"/>
    <x v="1"/>
    <d v="2015-01-01T00:00:00"/>
    <x v="1"/>
    <x v="0"/>
    <s v="RP5 Closure"/>
    <n v="1"/>
    <m/>
    <x v="12"/>
    <s v="B"/>
    <m/>
    <m/>
    <m/>
    <m/>
    <n v="1"/>
    <m/>
    <m/>
    <m/>
    <m/>
    <m/>
    <m/>
    <n v="0"/>
    <m/>
    <m/>
    <m/>
    <m/>
    <m/>
    <m/>
    <m/>
    <m/>
    <s v="South"/>
  </r>
  <r>
    <x v="0"/>
    <n v="834"/>
    <x v="3"/>
    <s v="ERIC CHAN"/>
    <x v="3"/>
    <s v="35-1127-18-Express 2LS-YW"/>
    <x v="0"/>
    <x v="23"/>
    <x v="1"/>
    <d v="2015-01-01T00:00:00"/>
    <x v="1"/>
    <x v="1"/>
    <s v="RP5 Closure"/>
    <n v="2"/>
    <m/>
    <x v="12"/>
    <s v="B"/>
    <m/>
    <m/>
    <m/>
    <m/>
    <m/>
    <n v="1"/>
    <m/>
    <m/>
    <m/>
    <n v="1"/>
    <m/>
    <m/>
    <m/>
    <m/>
    <m/>
    <m/>
    <m/>
    <m/>
    <m/>
    <m/>
    <s v="South"/>
  </r>
  <r>
    <x v="0"/>
    <n v="955"/>
    <x v="3"/>
    <s v="ERIC CHAN"/>
    <x v="3"/>
    <s v="35-1127-18-Express 2LS-YW"/>
    <x v="0"/>
    <x v="23"/>
    <x v="1"/>
    <d v="2015-02-01T00:00:00"/>
    <x v="0"/>
    <x v="2"/>
    <m/>
    <n v="1"/>
    <n v="2"/>
    <x v="12"/>
    <s v="B"/>
    <m/>
    <m/>
    <m/>
    <m/>
    <m/>
    <m/>
    <n v="1"/>
    <m/>
    <m/>
    <m/>
    <n v="0"/>
    <m/>
    <m/>
    <n v="0"/>
    <n v="1"/>
    <n v="1"/>
    <m/>
    <m/>
    <m/>
    <m/>
    <s v="South"/>
  </r>
  <r>
    <x v="0"/>
    <m/>
    <x v="3"/>
    <s v="ERIC CHAN"/>
    <x v="3"/>
    <s v="35-1127-18-Express 2LS-YW"/>
    <x v="0"/>
    <x v="23"/>
    <x v="1"/>
    <d v="2015-01-01T00:00:00"/>
    <x v="1"/>
    <x v="3"/>
    <m/>
    <n v="2"/>
    <m/>
    <x v="12"/>
    <s v="B"/>
    <m/>
    <m/>
    <m/>
    <n v="1"/>
    <m/>
    <m/>
    <m/>
    <m/>
    <m/>
    <m/>
    <m/>
    <m/>
    <m/>
    <m/>
    <m/>
    <m/>
    <m/>
    <m/>
    <n v="1"/>
    <m/>
    <s v="South"/>
  </r>
  <r>
    <x v="0"/>
    <n v="415"/>
    <x v="4"/>
    <s v="GARY LAI"/>
    <x v="2"/>
    <s v="Actifry HS (connected) - DEFOND"/>
    <x v="0"/>
    <x v="24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0"/>
    <n v="597"/>
    <x v="4"/>
    <s v="GARY LAI"/>
    <x v="2"/>
    <s v="Cube Accessory - Wing Keung"/>
    <x v="0"/>
    <x v="25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738"/>
    <x v="4"/>
    <s v="GARY LAI"/>
    <x v="2"/>
    <s v="Cube Accessory - Wing Keung"/>
    <x v="0"/>
    <x v="25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GARY LAI"/>
    <x v="2"/>
    <s v="Cube Accessory - Wing Keung"/>
    <x v="0"/>
    <x v="25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664"/>
    <x v="4"/>
    <s v="GARY LAI"/>
    <x v="2"/>
    <s v="Speed One Electronic Box – DEFOND"/>
    <x v="0"/>
    <x v="24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05"/>
    <x v="4"/>
    <s v="GARY LAI"/>
    <x v="2"/>
    <s v="Speed One Electronic Box – DEFOND"/>
    <x v="0"/>
    <x v="24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GARY LAI"/>
    <x v="2"/>
    <s v="Speed One Electronic Box – DEFOND"/>
    <x v="0"/>
    <x v="24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60"/>
    <x v="4"/>
    <s v="KENNETH TANG"/>
    <x v="2"/>
    <s v="FTR Shutoff Subset - H3 "/>
    <x v="0"/>
    <x v="26"/>
    <x v="0"/>
    <d v="2015-02-01T00:00:00"/>
    <x v="0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2"/>
    <x v="4"/>
    <s v="KENNETH TANG"/>
    <x v="2"/>
    <s v="FTR Shutoff Subset - H3 "/>
    <x v="0"/>
    <x v="26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3"/>
    <x v="4"/>
    <s v="KENNETH TANG"/>
    <x v="2"/>
    <s v="FTR Shutoff Subset - H3 "/>
    <x v="0"/>
    <x v="26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2"/>
    <s v="FTR Shutoff Subset - H3 "/>
    <x v="0"/>
    <x v="26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24"/>
    <x v="4"/>
    <s v="KENNETH TANG"/>
    <x v="2"/>
    <s v="GRL Front Panel - VS [GRL Front Panel (Mechanical Version)]"/>
    <x v="0"/>
    <x v="27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77"/>
    <x v="4"/>
    <s v="KENNETH TANG"/>
    <x v="2"/>
    <s v="GRL Front Panel - VS [GRL Front Panel (Mechanical Version)]"/>
    <x v="0"/>
    <x v="27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18"/>
    <x v="4"/>
    <s v="KENNETH TANG"/>
    <x v="2"/>
    <s v="GRL Front Panel - VS [GRL Front Panel (Mechanical Version)]"/>
    <x v="0"/>
    <x v="27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2"/>
    <s v="GRL Front Panel - VS [GRL Front Panel (Mechanical Version)]"/>
    <x v="0"/>
    <x v="27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41"/>
    <x v="4"/>
    <s v="KENNETH TANG"/>
    <x v="2"/>
    <s v="GRL Front Panel (Electronic Version) - VS"/>
    <x v="0"/>
    <x v="27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85"/>
    <x v="4"/>
    <s v="KENNETH TANG"/>
    <x v="2"/>
    <s v="GRL Front Panel (Electronic Version) - VS"/>
    <x v="0"/>
    <x v="27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26"/>
    <x v="4"/>
    <s v="KENNETH TANG"/>
    <x v="2"/>
    <s v="GRL Front Panel (Electronic Version) - VS"/>
    <x v="0"/>
    <x v="27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2"/>
    <s v="GRL Front Panel (Electronic Version) - VS"/>
    <x v="0"/>
    <x v="27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416"/>
    <x v="4"/>
    <s v="KENNETH TANG"/>
    <x v="2"/>
    <s v="GRL Front Panel (UL Version) - VS"/>
    <x v="0"/>
    <x v="27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0"/>
    <n v="417"/>
    <x v="4"/>
    <s v="KENNETH TANG"/>
    <x v="2"/>
    <s v="GRL Handle Subset (UL Version) - NL"/>
    <x v="0"/>
    <x v="28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0"/>
    <n v="559"/>
    <x v="4"/>
    <s v="KENNETH TANG"/>
    <x v="2"/>
    <s v="GRL Handle Subset [Electronic Version] - NL"/>
    <x v="0"/>
    <x v="28"/>
    <x v="0"/>
    <d v="2015-02-01T00:00:00"/>
    <x v="0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1"/>
    <x v="4"/>
    <s v="KENNETH TANG"/>
    <x v="2"/>
    <s v="GRL Handle Subset [Electronic Version] - NL"/>
    <x v="0"/>
    <x v="28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2"/>
    <x v="4"/>
    <s v="KENNETH TANG"/>
    <x v="2"/>
    <s v="GRL Handle Subset [Electronic Version] - NL"/>
    <x v="0"/>
    <x v="28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2"/>
    <s v="GRL Handle Subset [Electronic Version] - NL"/>
    <x v="0"/>
    <x v="28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58"/>
    <x v="4"/>
    <s v="KENNETH TANG"/>
    <x v="2"/>
    <s v="GRL Handle Subset [Mechanical Version] - NL"/>
    <x v="0"/>
    <x v="28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0"/>
    <x v="4"/>
    <s v="KENNETH TANG"/>
    <x v="2"/>
    <s v="GRL Handle Subset [Mechanical Version] - NL"/>
    <x v="0"/>
    <x v="28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1"/>
    <x v="4"/>
    <s v="KENNETH TANG"/>
    <x v="2"/>
    <s v="GRL Handle Subset [Mechanical Version] - NL"/>
    <x v="0"/>
    <x v="28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2"/>
    <s v="GRL Handle Subset [Mechanical Version] - NL"/>
    <x v="0"/>
    <x v="28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369"/>
    <x v="4"/>
    <s v="KENNETH TANG"/>
    <x v="2"/>
    <s v="GTW Front Panel - VS"/>
    <x v="0"/>
    <x v="27"/>
    <x v="0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0"/>
    <n v="204"/>
    <x v="4"/>
    <s v="KENNY CHAN"/>
    <x v="9"/>
    <s v="Chopstick - Team Concept"/>
    <x v="0"/>
    <x v="29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411"/>
    <x v="4"/>
    <s v="KENNY CHAN"/>
    <x v="9"/>
    <s v="Chopstick - Team Concept"/>
    <x v="0"/>
    <x v="29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0"/>
    <n v="538"/>
    <x v="4"/>
    <s v="KENNY CHAN"/>
    <x v="9"/>
    <s v="Fresh Kitchen Knives (2nd Generation) - SSI"/>
    <x v="0"/>
    <x v="30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82"/>
    <x v="4"/>
    <s v="KENNY CHAN"/>
    <x v="9"/>
    <s v="Fresh Kitchen Knives (2nd Generation) - SSI"/>
    <x v="0"/>
    <x v="30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23"/>
    <x v="4"/>
    <s v="KENNY CHAN"/>
    <x v="9"/>
    <s v="Fresh Kitchen Knives (2nd Generation) - SSI"/>
    <x v="0"/>
    <x v="30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9"/>
    <s v="Fresh Kitchen Knives (2nd Generation) - SSI"/>
    <x v="0"/>
    <x v="30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3"/>
    <x v="4"/>
    <s v="KENNY CHAN"/>
    <x v="9"/>
    <s v="Rice Spoon - Team Concept"/>
    <x v="0"/>
    <x v="29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410"/>
    <x v="4"/>
    <s v="KENNY CHAN"/>
    <x v="9"/>
    <s v="Rice Spoon - Team Concept"/>
    <x v="0"/>
    <x v="29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0"/>
    <n v="927"/>
    <x v="4"/>
    <s v="PALMER LI"/>
    <x v="9"/>
    <s v="ALL CLAD 12QT CLASSIC 4pcs set - Linkfair"/>
    <x v="0"/>
    <x v="31"/>
    <x v="0"/>
    <d v="2015-01-01T00:00:00"/>
    <x v="1"/>
    <x v="2"/>
    <m/>
    <n v="1"/>
    <n v="1"/>
    <x v="13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561"/>
    <x v="4"/>
    <s v="PALMER LI"/>
    <x v="9"/>
    <s v="Duet 2pcs set Korea - Linkfair"/>
    <x v="0"/>
    <x v="31"/>
    <x v="0"/>
    <d v="2015-01-01T00:00:00"/>
    <x v="1"/>
    <x v="4"/>
    <m/>
    <n v="1"/>
    <m/>
    <x v="13"/>
    <s v="B"/>
    <m/>
    <m/>
    <n v="1"/>
    <m/>
    <m/>
    <m/>
    <m/>
    <m/>
    <n v="0"/>
    <m/>
    <m/>
    <m/>
    <m/>
    <m/>
    <m/>
    <m/>
    <m/>
    <m/>
    <m/>
    <m/>
    <s v="South"/>
  </r>
  <r>
    <x v="0"/>
    <n v="703"/>
    <x v="4"/>
    <s v="PALMER LI"/>
    <x v="9"/>
    <s v="Duet 2pcs set Korea - Linkfair"/>
    <x v="0"/>
    <x v="31"/>
    <x v="0"/>
    <d v="2015-01-01T00:00:00"/>
    <x v="1"/>
    <x v="0"/>
    <s v="RP5 Closure"/>
    <n v="1"/>
    <m/>
    <x v="13"/>
    <s v="B"/>
    <m/>
    <m/>
    <m/>
    <m/>
    <n v="1"/>
    <m/>
    <m/>
    <m/>
    <m/>
    <m/>
    <m/>
    <n v="0"/>
    <m/>
    <m/>
    <m/>
    <m/>
    <m/>
    <m/>
    <m/>
    <m/>
    <s v="South"/>
  </r>
  <r>
    <x v="0"/>
    <n v="844"/>
    <x v="4"/>
    <s v="PALMER LI"/>
    <x v="9"/>
    <s v="Duet 2pcs set Korea - Linkfair"/>
    <x v="0"/>
    <x v="31"/>
    <x v="0"/>
    <d v="2015-01-01T00:00:00"/>
    <x v="1"/>
    <x v="1"/>
    <s v="RP5 Closure"/>
    <n v="1"/>
    <m/>
    <x v="13"/>
    <s v="B"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PALMER LI"/>
    <x v="9"/>
    <s v="Duet 2pcs set Korea - Linkfair"/>
    <x v="0"/>
    <x v="31"/>
    <x v="0"/>
    <d v="2015-01-01T00:00:00"/>
    <x v="1"/>
    <x v="3"/>
    <m/>
    <n v="1"/>
    <m/>
    <x v="13"/>
    <s v="B"/>
    <m/>
    <m/>
    <m/>
    <n v="1"/>
    <m/>
    <m/>
    <m/>
    <m/>
    <m/>
    <m/>
    <m/>
    <m/>
    <m/>
    <m/>
    <m/>
    <m/>
    <m/>
    <m/>
    <n v="1"/>
    <m/>
    <s v="South"/>
  </r>
  <r>
    <x v="0"/>
    <n v="210"/>
    <x v="4"/>
    <s v="PALMER LI"/>
    <x v="9"/>
    <s v="INTUITION  with TURKISH handles open stock - Linkfair"/>
    <x v="0"/>
    <x v="31"/>
    <x v="0"/>
    <d v="2015-02-01T00:00:00"/>
    <x v="0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0"/>
    <n v="412"/>
    <x v="4"/>
    <s v="PALMER LI"/>
    <x v="9"/>
    <s v="INTUITION  with TURKISH handles open stock - Linkfair"/>
    <x v="0"/>
    <x v="31"/>
    <x v="0"/>
    <d v="2015-02-01T00:00:00"/>
    <x v="0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n v="1"/>
    <s v="South"/>
  </r>
  <r>
    <x v="0"/>
    <n v="195"/>
    <x v="4"/>
    <s v="PALMER LI"/>
    <x v="9"/>
    <s v="INTUITION 5pcs set with TURKISH handles - Linkfair"/>
    <x v="0"/>
    <x v="31"/>
    <x v="0"/>
    <d v="2015-01-01T00:00:00"/>
    <x v="1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0"/>
    <n v="400"/>
    <x v="4"/>
    <s v="PALMER LI"/>
    <x v="9"/>
    <s v="INTUITION 5pcs set with TURKISH handles - Linkfair"/>
    <x v="0"/>
    <x v="31"/>
    <x v="0"/>
    <d v="2015-02-01T00:00:00"/>
    <x v="0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m/>
    <s v="South"/>
  </r>
  <r>
    <x v="0"/>
    <n v="196"/>
    <x v="4"/>
    <s v="PALMER LI"/>
    <x v="9"/>
    <s v="KAUFLAND Loyalty 2015 - Linkfair"/>
    <x v="0"/>
    <x v="31"/>
    <x v="0"/>
    <d v="2015-01-01T00:00:00"/>
    <x v="1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0"/>
    <n v="401"/>
    <x v="4"/>
    <s v="PALMER LI"/>
    <x v="9"/>
    <s v="KAUFLAND Loyalty 2015 - Linkfair"/>
    <x v="0"/>
    <x v="31"/>
    <x v="0"/>
    <d v="2015-01-01T00:00:00"/>
    <x v="1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m/>
    <s v="South"/>
  </r>
  <r>
    <x v="0"/>
    <n v="208"/>
    <x v="4"/>
    <s v="PALMER LI"/>
    <x v="9"/>
    <s v="Proflex Collapsible 6 Muffins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205"/>
    <x v="4"/>
    <s v="PALMER LI"/>
    <x v="9"/>
    <s v="Proflex Collapsible Manqué 20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209"/>
    <x v="4"/>
    <s v="PALMER LI"/>
    <x v="9"/>
    <s v="Proflex Cookie Cutter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207"/>
    <x v="4"/>
    <s v="PALMER LI"/>
    <x v="9"/>
    <s v="Proflex PINK HOLI NORMAL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206"/>
    <x v="4"/>
    <s v="PALMER LI"/>
    <x v="9"/>
    <s v="Proflex PINK HOLI TRANSLUCID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659"/>
    <x v="0"/>
    <s v="KEVIN LI"/>
    <x v="10"/>
    <s v="11-5286-00_BA EVOLIS BODY SIGNAL_KRELL"/>
    <x v="0"/>
    <x v="0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0"/>
    <s v="11-5286-00_BA EVOLIS BODY SIGNAL_KRELL"/>
    <x v="0"/>
    <x v="0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0"/>
    <s v="11-5286-00_BA EVOLIS BODY SIGNAL_KRELL"/>
    <x v="0"/>
    <x v="0"/>
    <x v="0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0"/>
    <s v="11-5286-00_BA EVOLIS BODY SIGNAL_KRELL"/>
    <x v="0"/>
    <x v="0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8"/>
    <x v="0"/>
    <s v="KEVIN LI"/>
    <x v="10"/>
    <s v="Bubble Tong 0835 - YUELI"/>
    <x v="0"/>
    <x v="1"/>
    <x v="1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519"/>
    <x v="0"/>
    <s v="KEVIN LI"/>
    <x v="10"/>
    <s v="Curler Brush 0829 - YUELI"/>
    <x v="0"/>
    <x v="1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473"/>
    <x v="0"/>
    <s v="KEVIN LI"/>
    <x v="10"/>
    <s v="Hair Dryer Nomad2 - YUELI"/>
    <x v="0"/>
    <x v="1"/>
    <x v="1"/>
    <d v="2015-01-01T00:00:00"/>
    <x v="1"/>
    <x v="4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0"/>
    <s v="Hair Dryer Nomad2 - YUELI"/>
    <x v="0"/>
    <x v="1"/>
    <x v="1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0"/>
    <s v="Hair Dryer Nomad2 - YUELI"/>
    <x v="0"/>
    <x v="1"/>
    <x v="1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0"/>
    <s v="Hair Dryer Nomad2 - YUELI"/>
    <x v="0"/>
    <x v="1"/>
    <x v="1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915"/>
    <x v="0"/>
    <s v="KEVIN LI"/>
    <x v="10"/>
    <s v="Nomad-4 Hair Clipper 0799 - Bangshou [Nomad3 Hair Clipper - Bangshou at early 2014] [Nomad2 Hair Clipper - Bangshou at 2013]"/>
    <x v="0"/>
    <x v="2"/>
    <x v="1"/>
    <d v="2015-02-01T00:00:00"/>
    <x v="0"/>
    <x v="2"/>
    <m/>
    <n v="1"/>
    <m/>
    <x v="0"/>
    <m/>
    <m/>
    <m/>
    <m/>
    <m/>
    <m/>
    <m/>
    <n v="1"/>
    <m/>
    <m/>
    <m/>
    <n v="0"/>
    <m/>
    <m/>
    <m/>
    <m/>
    <n v="1"/>
    <m/>
    <m/>
    <m/>
    <m/>
    <s v="North"/>
  </r>
  <r>
    <x v="1"/>
    <n v="402"/>
    <x v="0"/>
    <s v="KEVIN LI"/>
    <x v="10"/>
    <s v="OPTISS BAMBOO-KRELL"/>
    <x v="0"/>
    <x v="0"/>
    <x v="0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North"/>
  </r>
  <r>
    <x v="1"/>
    <n v="659"/>
    <x v="0"/>
    <s v="KEVIN LI"/>
    <x v="11"/>
    <s v="11-5286-00_BA EVOLIS BODY SIGNAL_KRELL"/>
    <x v="0"/>
    <x v="0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1"/>
    <s v="11-5286-00_BA EVOLIS BODY SIGNAL_KRELL"/>
    <x v="0"/>
    <x v="0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1"/>
    <s v="11-5286-00_BA EVOLIS BODY SIGNAL_KRELL"/>
    <x v="0"/>
    <x v="0"/>
    <x v="0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11-5286-00_BA EVOLIS BODY SIGNAL_KRELL"/>
    <x v="0"/>
    <x v="0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8"/>
    <x v="0"/>
    <s v="KEVIN LI"/>
    <x v="11"/>
    <s v="Bubble Tong 0835 - YUELI"/>
    <x v="0"/>
    <x v="1"/>
    <x v="1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519"/>
    <x v="0"/>
    <s v="KEVIN LI"/>
    <x v="11"/>
    <s v="Curler Brush 0829 - YUELI"/>
    <x v="0"/>
    <x v="1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473"/>
    <x v="0"/>
    <s v="KEVIN LI"/>
    <x v="11"/>
    <s v="Hair Dryer Nomad2 - YUELI"/>
    <x v="0"/>
    <x v="1"/>
    <x v="1"/>
    <d v="2015-01-01T00:00:00"/>
    <x v="1"/>
    <x v="4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1"/>
    <s v="Hair Dryer Nomad2 - YUELI"/>
    <x v="0"/>
    <x v="1"/>
    <x v="1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1"/>
    <s v="Hair Dryer Nomad2 - YUELI"/>
    <x v="0"/>
    <x v="1"/>
    <x v="1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1"/>
    <s v="Hair Dryer Nomad2 - YUELI"/>
    <x v="0"/>
    <x v="1"/>
    <x v="1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915"/>
    <x v="0"/>
    <s v="KEVIN LI"/>
    <x v="11"/>
    <s v="Nomad-4 Hair Clipper 0799 - Bangshou [Nomad3 Hair Clipper - Bangshou at early 2014] [Nomad2 Hair Clipper - Bangshou at 2013]"/>
    <x v="0"/>
    <x v="2"/>
    <x v="1"/>
    <d v="2015-02-01T00:00:00"/>
    <x v="0"/>
    <x v="2"/>
    <m/>
    <n v="1"/>
    <m/>
    <x v="0"/>
    <m/>
    <m/>
    <m/>
    <m/>
    <m/>
    <m/>
    <m/>
    <n v="1"/>
    <m/>
    <m/>
    <m/>
    <n v="0"/>
    <m/>
    <m/>
    <m/>
    <m/>
    <n v="1"/>
    <m/>
    <m/>
    <m/>
    <m/>
    <s v="North"/>
  </r>
  <r>
    <x v="1"/>
    <n v="402"/>
    <x v="0"/>
    <s v="KEVIN LI"/>
    <x v="11"/>
    <s v="OPTISS BAMBOO-KRELL"/>
    <x v="0"/>
    <x v="0"/>
    <x v="0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North"/>
  </r>
  <r>
    <x v="1"/>
    <n v="659"/>
    <x v="0"/>
    <s v="KEVIN LI"/>
    <x v="12"/>
    <s v="11-5286-00_BA EVOLIS BODY SIGNAL_KRELL"/>
    <x v="0"/>
    <x v="0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2"/>
    <s v="11-5286-00_BA EVOLIS BODY SIGNAL_KRELL"/>
    <x v="0"/>
    <x v="0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2"/>
    <s v="11-5286-00_BA EVOLIS BODY SIGNAL_KRELL"/>
    <x v="0"/>
    <x v="0"/>
    <x v="0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11-5286-00_BA EVOLIS BODY SIGNAL_KRELL"/>
    <x v="0"/>
    <x v="0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8"/>
    <x v="0"/>
    <s v="KEVIN LI"/>
    <x v="12"/>
    <s v="Bubble Tong 0835 - YUELI"/>
    <x v="0"/>
    <x v="1"/>
    <x v="1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519"/>
    <x v="0"/>
    <s v="KEVIN LI"/>
    <x v="12"/>
    <s v="Curler Brush 0829 - YUELI"/>
    <x v="0"/>
    <x v="1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473"/>
    <x v="0"/>
    <s v="KEVIN LI"/>
    <x v="12"/>
    <s v="Hair Dryer Nomad2 - YUELI"/>
    <x v="0"/>
    <x v="1"/>
    <x v="1"/>
    <d v="2015-01-01T00:00:00"/>
    <x v="1"/>
    <x v="4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2"/>
    <s v="Hair Dryer Nomad2 - YUELI"/>
    <x v="0"/>
    <x v="1"/>
    <x v="1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2"/>
    <s v="Hair Dryer Nomad2 - YUELI"/>
    <x v="0"/>
    <x v="1"/>
    <x v="1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2"/>
    <s v="Hair Dryer Nomad2 - YUELI"/>
    <x v="0"/>
    <x v="1"/>
    <x v="1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915"/>
    <x v="0"/>
    <s v="KEVIN LI"/>
    <x v="12"/>
    <s v="Nomad-4 Hair Clipper 0799 - Bangshou [Nomad3 Hair Clipper - Bangshou at early 2014] [Nomad2 Hair Clipper - Bangshou at 2013]"/>
    <x v="0"/>
    <x v="2"/>
    <x v="1"/>
    <d v="2015-02-01T00:00:00"/>
    <x v="0"/>
    <x v="2"/>
    <m/>
    <n v="1"/>
    <m/>
    <x v="0"/>
    <m/>
    <m/>
    <m/>
    <m/>
    <m/>
    <m/>
    <m/>
    <n v="1"/>
    <m/>
    <m/>
    <m/>
    <n v="0"/>
    <m/>
    <m/>
    <m/>
    <m/>
    <n v="1"/>
    <m/>
    <m/>
    <m/>
    <m/>
    <s v="North"/>
  </r>
  <r>
    <x v="1"/>
    <n v="402"/>
    <x v="0"/>
    <s v="KEVIN LI"/>
    <x v="12"/>
    <s v="OPTISS BAMBOO-KRELL"/>
    <x v="0"/>
    <x v="0"/>
    <x v="0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North"/>
  </r>
  <r>
    <x v="1"/>
    <n v="854"/>
    <x v="0"/>
    <s v="ROBIN LU"/>
    <x v="10"/>
    <s v="Cityspac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0"/>
    <s v="Compacteo ERGO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0"/>
    <s v="PowerLin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0"/>
    <s v="PowerSpac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0"/>
    <s v="Steam and Vacuum cleaner - EUP"/>
    <x v="0"/>
    <x v="3"/>
    <x v="0"/>
    <d v="2015-01-01T00:00:00"/>
    <x v="1"/>
    <x v="5"/>
    <s v="RP3-RP4"/>
    <m/>
    <m/>
    <x v="1"/>
    <s v="A"/>
    <m/>
    <n v="1"/>
    <m/>
    <m/>
    <m/>
    <m/>
    <m/>
    <m/>
    <m/>
    <m/>
    <m/>
    <m/>
    <m/>
    <m/>
    <m/>
    <n v="1"/>
    <m/>
    <n v="1"/>
    <m/>
    <n v="1"/>
    <s v="North"/>
  </r>
  <r>
    <x v="1"/>
    <n v="854"/>
    <x v="0"/>
    <s v="ROBIN LU"/>
    <x v="11"/>
    <s v="Cityspac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1"/>
    <s v="Compacteo ERGO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1"/>
    <s v="PowerLin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1"/>
    <s v="PowerSpac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1"/>
    <s v="Steam and Vacuum cleaner - EUP"/>
    <x v="0"/>
    <x v="3"/>
    <x v="0"/>
    <d v="2015-01-01T00:00:00"/>
    <x v="1"/>
    <x v="5"/>
    <s v="RP3-RP4"/>
    <m/>
    <m/>
    <x v="1"/>
    <s v="A"/>
    <m/>
    <n v="1"/>
    <m/>
    <m/>
    <m/>
    <m/>
    <m/>
    <m/>
    <m/>
    <m/>
    <m/>
    <m/>
    <m/>
    <m/>
    <m/>
    <n v="1"/>
    <m/>
    <n v="1"/>
    <m/>
    <n v="1"/>
    <s v="North"/>
  </r>
  <r>
    <x v="1"/>
    <n v="854"/>
    <x v="0"/>
    <s v="ROBIN LU"/>
    <x v="12"/>
    <s v="Cityspac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2"/>
    <s v="Compacteo ERGO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2"/>
    <s v="PowerLin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2"/>
    <s v="PowerSpace ErP-EUP"/>
    <x v="0"/>
    <x v="3"/>
    <x v="0"/>
    <d v="2015-01-01T00:00:00"/>
    <x v="1"/>
    <x v="6"/>
    <m/>
    <n v="1"/>
    <m/>
    <x v="1"/>
    <s v="A"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2"/>
    <s v="Steam and Vacuum cleaner - EUP"/>
    <x v="0"/>
    <x v="3"/>
    <x v="0"/>
    <d v="2015-01-01T00:00:00"/>
    <x v="1"/>
    <x v="5"/>
    <s v="RP3-RP4"/>
    <m/>
    <m/>
    <x v="1"/>
    <s v="A"/>
    <m/>
    <n v="1"/>
    <m/>
    <m/>
    <m/>
    <m/>
    <m/>
    <m/>
    <m/>
    <m/>
    <m/>
    <m/>
    <m/>
    <m/>
    <m/>
    <n v="1"/>
    <m/>
    <n v="1"/>
    <m/>
    <n v="1"/>
    <s v="North"/>
  </r>
  <r>
    <x v="1"/>
    <n v="514"/>
    <x v="0"/>
    <s v="ROBIN LU"/>
    <x v="13"/>
    <s v="GRL Iron rest subset-YUDA"/>
    <x v="0"/>
    <x v="4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669"/>
    <x v="0"/>
    <s v="ROBIN LU"/>
    <x v="13"/>
    <s v="GRL Iron rest subset-YUDA"/>
    <x v="0"/>
    <x v="4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10"/>
    <x v="0"/>
    <s v="ROBIN LU"/>
    <x v="13"/>
    <s v="GRL Iron rest subset-YUDA"/>
    <x v="0"/>
    <x v="4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ROBIN LU"/>
    <x v="13"/>
    <s v="GRL Iron rest subset-YUDA"/>
    <x v="0"/>
    <x v="4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413"/>
    <x v="1"/>
    <s v="BENNY CHAU"/>
    <x v="10"/>
    <s v="20-0203-00-AF360 - Airtek"/>
    <x v="0"/>
    <x v="5"/>
    <x v="0"/>
    <d v="2015-02-01T00:00:00"/>
    <x v="0"/>
    <x v="5"/>
    <s v="RP3-RP4"/>
    <m/>
    <m/>
    <x v="2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396"/>
    <x v="1"/>
    <s v="BENNY CHAU"/>
    <x v="10"/>
    <s v="Basic curling tong - Sun Luen"/>
    <x v="0"/>
    <x v="6"/>
    <x v="1"/>
    <d v="2015-01-01T00:00:00"/>
    <x v="1"/>
    <x v="5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498"/>
    <x v="1"/>
    <s v="BENNY CHAU"/>
    <x v="10"/>
    <s v="New infini pro 0795-Sun Luen"/>
    <x v="0"/>
    <x v="6"/>
    <x v="0"/>
    <d v="2015-01-01T00:00:00"/>
    <x v="1"/>
    <x v="4"/>
    <m/>
    <n v="1"/>
    <m/>
    <x v="3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0"/>
    <s v="New infini pro 0795-Sun Luen"/>
    <x v="0"/>
    <x v="6"/>
    <x v="0"/>
    <d v="2015-02-01T00:00:00"/>
    <x v="0"/>
    <x v="0"/>
    <s v="RP5 Closure"/>
    <n v="1"/>
    <m/>
    <x v="3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0"/>
    <s v="New infini pro 0795-Sun Luen"/>
    <x v="0"/>
    <x v="6"/>
    <x v="0"/>
    <d v="2015-02-01T00:00:00"/>
    <x v="0"/>
    <x v="1"/>
    <s v="RP5 Closure"/>
    <n v="1"/>
    <m/>
    <x v="3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0"/>
    <s v="New infini pro 0795-Sun Luen"/>
    <x v="0"/>
    <x v="6"/>
    <x v="0"/>
    <d v="2015-02-01T00:00:00"/>
    <x v="0"/>
    <x v="3"/>
    <m/>
    <n v="1"/>
    <m/>
    <x v="3"/>
    <s v="A"/>
    <m/>
    <m/>
    <m/>
    <n v="1"/>
    <m/>
    <m/>
    <m/>
    <m/>
    <m/>
    <m/>
    <m/>
    <m/>
    <m/>
    <m/>
    <m/>
    <m/>
    <m/>
    <m/>
    <n v="1"/>
    <m/>
    <s v="South"/>
  </r>
  <r>
    <x v="1"/>
    <n v="413"/>
    <x v="1"/>
    <s v="BENNY CHAU"/>
    <x v="11"/>
    <s v="20-0203-00-AF360 - Airtek"/>
    <x v="0"/>
    <x v="5"/>
    <x v="0"/>
    <d v="2015-02-01T00:00:00"/>
    <x v="0"/>
    <x v="5"/>
    <s v="RP3-RP4"/>
    <m/>
    <m/>
    <x v="2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396"/>
    <x v="1"/>
    <s v="BENNY CHAU"/>
    <x v="11"/>
    <s v="Basic curling tong - Sun Luen"/>
    <x v="0"/>
    <x v="6"/>
    <x v="1"/>
    <d v="2015-01-01T00:00:00"/>
    <x v="1"/>
    <x v="5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498"/>
    <x v="1"/>
    <s v="BENNY CHAU"/>
    <x v="11"/>
    <s v="New infini pro 0795-Sun Luen"/>
    <x v="0"/>
    <x v="6"/>
    <x v="0"/>
    <d v="2015-01-01T00:00:00"/>
    <x v="1"/>
    <x v="4"/>
    <m/>
    <n v="1"/>
    <m/>
    <x v="3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1"/>
    <s v="New infini pro 0795-Sun Luen"/>
    <x v="0"/>
    <x v="6"/>
    <x v="0"/>
    <d v="2015-02-01T00:00:00"/>
    <x v="0"/>
    <x v="0"/>
    <s v="RP5 Closure"/>
    <n v="1"/>
    <m/>
    <x v="3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1"/>
    <s v="New infini pro 0795-Sun Luen"/>
    <x v="0"/>
    <x v="6"/>
    <x v="0"/>
    <d v="2015-02-01T00:00:00"/>
    <x v="0"/>
    <x v="1"/>
    <s v="RP5 Closure"/>
    <n v="1"/>
    <m/>
    <x v="3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1"/>
    <s v="New infini pro 0795-Sun Luen"/>
    <x v="0"/>
    <x v="6"/>
    <x v="0"/>
    <d v="2015-02-01T00:00:00"/>
    <x v="0"/>
    <x v="3"/>
    <m/>
    <n v="1"/>
    <m/>
    <x v="3"/>
    <s v="A"/>
    <m/>
    <m/>
    <m/>
    <n v="1"/>
    <m/>
    <m/>
    <m/>
    <m/>
    <m/>
    <m/>
    <m/>
    <m/>
    <m/>
    <m/>
    <m/>
    <m/>
    <m/>
    <m/>
    <n v="1"/>
    <m/>
    <s v="South"/>
  </r>
  <r>
    <x v="1"/>
    <n v="413"/>
    <x v="1"/>
    <s v="BENNY CHAU"/>
    <x v="12"/>
    <s v="20-0203-00-AF360 - Airtek"/>
    <x v="0"/>
    <x v="5"/>
    <x v="0"/>
    <d v="2015-02-01T00:00:00"/>
    <x v="0"/>
    <x v="5"/>
    <s v="RP3-RP4"/>
    <m/>
    <m/>
    <x v="2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396"/>
    <x v="1"/>
    <s v="BENNY CHAU"/>
    <x v="12"/>
    <s v="Basic curling tong - Sun Luen"/>
    <x v="0"/>
    <x v="6"/>
    <x v="1"/>
    <d v="2015-01-01T00:00:00"/>
    <x v="1"/>
    <x v="5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498"/>
    <x v="1"/>
    <s v="BENNY CHAU"/>
    <x v="12"/>
    <s v="New infini pro 0795-Sun Luen"/>
    <x v="0"/>
    <x v="6"/>
    <x v="0"/>
    <d v="2015-01-01T00:00:00"/>
    <x v="1"/>
    <x v="4"/>
    <m/>
    <n v="1"/>
    <m/>
    <x v="3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2"/>
    <s v="New infini pro 0795-Sun Luen"/>
    <x v="0"/>
    <x v="6"/>
    <x v="0"/>
    <d v="2015-02-01T00:00:00"/>
    <x v="0"/>
    <x v="0"/>
    <s v="RP5 Closure"/>
    <n v="1"/>
    <m/>
    <x v="3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2"/>
    <s v="New infini pro 0795-Sun Luen"/>
    <x v="0"/>
    <x v="6"/>
    <x v="0"/>
    <d v="2015-02-01T00:00:00"/>
    <x v="0"/>
    <x v="1"/>
    <s v="RP5 Closure"/>
    <n v="1"/>
    <m/>
    <x v="3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2"/>
    <s v="New infini pro 0795-Sun Luen"/>
    <x v="0"/>
    <x v="6"/>
    <x v="0"/>
    <d v="2015-02-01T00:00:00"/>
    <x v="0"/>
    <x v="3"/>
    <m/>
    <n v="1"/>
    <m/>
    <x v="3"/>
    <s v="A"/>
    <m/>
    <m/>
    <m/>
    <n v="1"/>
    <m/>
    <m/>
    <m/>
    <m/>
    <m/>
    <m/>
    <m/>
    <m/>
    <m/>
    <m/>
    <m/>
    <m/>
    <m/>
    <m/>
    <n v="1"/>
    <m/>
    <s v="South"/>
  </r>
  <r>
    <x v="1"/>
    <n v="427"/>
    <x v="1"/>
    <s v="BRENDA HUI"/>
    <x v="10"/>
    <s v="sdsddf"/>
    <x v="0"/>
    <x v="7"/>
    <x v="1"/>
    <m/>
    <x v="1"/>
    <x v="7"/>
    <m/>
    <m/>
    <m/>
    <x v="0"/>
    <m/>
    <m/>
    <m/>
    <m/>
    <m/>
    <m/>
    <m/>
    <m/>
    <m/>
    <m/>
    <m/>
    <m/>
    <m/>
    <m/>
    <m/>
    <m/>
    <n v="1"/>
    <m/>
    <m/>
    <m/>
    <m/>
    <s v="South"/>
  </r>
  <r>
    <x v="1"/>
    <n v="427"/>
    <x v="1"/>
    <s v="BRENDA HUI"/>
    <x v="14"/>
    <s v="sdsddf"/>
    <x v="0"/>
    <x v="7"/>
    <x v="1"/>
    <m/>
    <x v="1"/>
    <x v="7"/>
    <m/>
    <m/>
    <m/>
    <x v="0"/>
    <m/>
    <m/>
    <m/>
    <m/>
    <m/>
    <m/>
    <m/>
    <m/>
    <m/>
    <m/>
    <m/>
    <m/>
    <m/>
    <m/>
    <m/>
    <m/>
    <n v="1"/>
    <m/>
    <m/>
    <m/>
    <m/>
    <s v="South"/>
  </r>
  <r>
    <x v="1"/>
    <n v="427"/>
    <x v="1"/>
    <s v="BRENDA HUI"/>
    <x v="12"/>
    <s v="sdsddf"/>
    <x v="0"/>
    <x v="7"/>
    <x v="1"/>
    <m/>
    <x v="1"/>
    <x v="7"/>
    <m/>
    <m/>
    <m/>
    <x v="0"/>
    <m/>
    <m/>
    <m/>
    <m/>
    <m/>
    <m/>
    <m/>
    <m/>
    <m/>
    <m/>
    <m/>
    <m/>
    <m/>
    <m/>
    <m/>
    <m/>
    <n v="1"/>
    <m/>
    <m/>
    <m/>
    <m/>
    <s v="South"/>
  </r>
  <r>
    <x v="1"/>
    <n v="414"/>
    <x v="1"/>
    <s v="KAM CHOW"/>
    <x v="10"/>
    <s v="23-0311-14-Flat Fan Heater - Airmate"/>
    <x v="0"/>
    <x v="8"/>
    <x v="0"/>
    <d v="2015-02-01T00:00:00"/>
    <x v="0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404"/>
    <x v="1"/>
    <s v="KAM CHOW"/>
    <x v="10"/>
    <s v="Bamboo Fan - Airmate"/>
    <x v="0"/>
    <x v="8"/>
    <x v="0"/>
    <d v="2015-01-01T00:00:00"/>
    <x v="1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405"/>
    <x v="1"/>
    <s v="KAM CHOW"/>
    <x v="10"/>
    <s v="Flat fan heater - Airmate"/>
    <x v="0"/>
    <x v="8"/>
    <x v="0"/>
    <d v="2015-01-01T00:00:00"/>
    <x v="1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0"/>
    <s v="Humidifer baby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408"/>
    <x v="1"/>
    <s v="KAM CHOW"/>
    <x v="10"/>
    <s v="nano steam v2 - SMT"/>
    <x v="0"/>
    <x v="10"/>
    <x v="0"/>
    <d v="2015-01-01T00:00:00"/>
    <x v="1"/>
    <x v="5"/>
    <s v="RP3-RP4"/>
    <m/>
    <m/>
    <x v="5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198"/>
    <x v="1"/>
    <s v="KAM CHOW"/>
    <x v="10"/>
    <s v="Nano steam v3 - SMT"/>
    <x v="0"/>
    <x v="10"/>
    <x v="0"/>
    <d v="2015-01-01T00:00:00"/>
    <x v="1"/>
    <x v="8"/>
    <s v="RP1-RP2"/>
    <m/>
    <m/>
    <x v="5"/>
    <s v="A"/>
    <n v="1"/>
    <m/>
    <m/>
    <m/>
    <m/>
    <m/>
    <m/>
    <m/>
    <m/>
    <m/>
    <m/>
    <m/>
    <m/>
    <m/>
    <m/>
    <n v="1"/>
    <n v="1"/>
    <m/>
    <m/>
    <n v="1"/>
    <s v="South"/>
  </r>
  <r>
    <x v="1"/>
    <n v="406"/>
    <x v="1"/>
    <s v="KAM CHOW"/>
    <x v="10"/>
    <s v="Premium AC HD - WIK"/>
    <x v="0"/>
    <x v="11"/>
    <x v="0"/>
    <d v="2015-01-01T00:00:00"/>
    <x v="1"/>
    <x v="5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409"/>
    <x v="1"/>
    <s v="KAM CHOW"/>
    <x v="10"/>
    <s v="SWA pump 5 bars - TK"/>
    <x v="0"/>
    <x v="9"/>
    <x v="1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199"/>
    <x v="1"/>
    <s v="KAM CHOW"/>
    <x v="10"/>
    <s v="Turbo Silence Fan upgrade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201"/>
    <x v="1"/>
    <s v="KAM CHOW"/>
    <x v="10"/>
    <s v="Turbo Silence Fan US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0"/>
    <s v="Ultimate styler - KF"/>
    <x v="0"/>
    <x v="12"/>
    <x v="0"/>
    <d v="2015-01-01T00:00:00"/>
    <x v="1"/>
    <x v="5"/>
    <s v="RP3-RP4"/>
    <m/>
    <m/>
    <x v="7"/>
    <s v="A"/>
    <m/>
    <n v="1"/>
    <m/>
    <m/>
    <m/>
    <m/>
    <m/>
    <m/>
    <m/>
    <m/>
    <m/>
    <m/>
    <m/>
    <m/>
    <m/>
    <n v="1"/>
    <m/>
    <n v="1"/>
    <m/>
    <m/>
    <s v="South"/>
  </r>
  <r>
    <x v="1"/>
    <n v="510"/>
    <x v="1"/>
    <s v="KAM CHOW"/>
    <x v="10"/>
    <s v="W&amp;D2 trimmer - Fairform"/>
    <x v="0"/>
    <x v="13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414"/>
    <x v="1"/>
    <s v="KAM CHOW"/>
    <x v="11"/>
    <s v="23-0311-14-Flat Fan Heater - Airmate"/>
    <x v="0"/>
    <x v="8"/>
    <x v="0"/>
    <d v="2015-02-01T00:00:00"/>
    <x v="0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404"/>
    <x v="1"/>
    <s v="KAM CHOW"/>
    <x v="11"/>
    <s v="Bamboo Fan - Airmate"/>
    <x v="0"/>
    <x v="8"/>
    <x v="0"/>
    <d v="2015-01-01T00:00:00"/>
    <x v="1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405"/>
    <x v="1"/>
    <s v="KAM CHOW"/>
    <x v="11"/>
    <s v="Flat fan heater - Airmate"/>
    <x v="0"/>
    <x v="8"/>
    <x v="0"/>
    <d v="2015-01-01T00:00:00"/>
    <x v="1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1"/>
    <s v="Humidifer baby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408"/>
    <x v="1"/>
    <s v="KAM CHOW"/>
    <x v="11"/>
    <s v="nano steam v2 - SMT"/>
    <x v="0"/>
    <x v="10"/>
    <x v="0"/>
    <d v="2015-01-01T00:00:00"/>
    <x v="1"/>
    <x v="5"/>
    <s v="RP3-RP4"/>
    <m/>
    <m/>
    <x v="5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198"/>
    <x v="1"/>
    <s v="KAM CHOW"/>
    <x v="11"/>
    <s v="Nano steam v3 - SMT"/>
    <x v="0"/>
    <x v="10"/>
    <x v="0"/>
    <d v="2015-01-01T00:00:00"/>
    <x v="1"/>
    <x v="8"/>
    <s v="RP1-RP2"/>
    <m/>
    <m/>
    <x v="5"/>
    <s v="A"/>
    <n v="1"/>
    <m/>
    <m/>
    <m/>
    <m/>
    <m/>
    <m/>
    <m/>
    <m/>
    <m/>
    <m/>
    <m/>
    <m/>
    <m/>
    <m/>
    <n v="1"/>
    <n v="1"/>
    <m/>
    <m/>
    <n v="1"/>
    <s v="South"/>
  </r>
  <r>
    <x v="1"/>
    <n v="406"/>
    <x v="1"/>
    <s v="KAM CHOW"/>
    <x v="11"/>
    <s v="Premium AC HD - WIK"/>
    <x v="0"/>
    <x v="11"/>
    <x v="0"/>
    <d v="2015-01-01T00:00:00"/>
    <x v="1"/>
    <x v="5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409"/>
    <x v="1"/>
    <s v="KAM CHOW"/>
    <x v="11"/>
    <s v="SWA pump 5 bars - TK"/>
    <x v="0"/>
    <x v="9"/>
    <x v="1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199"/>
    <x v="1"/>
    <s v="KAM CHOW"/>
    <x v="11"/>
    <s v="Turbo Silence Fan upgrade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201"/>
    <x v="1"/>
    <s v="KAM CHOW"/>
    <x v="11"/>
    <s v="Turbo Silence Fan US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1"/>
    <s v="Ultimate styler - KF"/>
    <x v="0"/>
    <x v="12"/>
    <x v="0"/>
    <d v="2015-01-01T00:00:00"/>
    <x v="1"/>
    <x v="5"/>
    <s v="RP3-RP4"/>
    <m/>
    <m/>
    <x v="7"/>
    <s v="A"/>
    <m/>
    <n v="1"/>
    <m/>
    <m/>
    <m/>
    <m/>
    <m/>
    <m/>
    <m/>
    <m/>
    <m/>
    <m/>
    <m/>
    <m/>
    <m/>
    <n v="1"/>
    <m/>
    <n v="1"/>
    <m/>
    <m/>
    <s v="South"/>
  </r>
  <r>
    <x v="1"/>
    <n v="510"/>
    <x v="1"/>
    <s v="KAM CHOW"/>
    <x v="11"/>
    <s v="W&amp;D2 trimmer - Fairform"/>
    <x v="0"/>
    <x v="13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414"/>
    <x v="1"/>
    <s v="KAM CHOW"/>
    <x v="12"/>
    <s v="23-0311-14-Flat Fan Heater - Airmate"/>
    <x v="0"/>
    <x v="8"/>
    <x v="0"/>
    <d v="2015-02-01T00:00:00"/>
    <x v="0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404"/>
    <x v="1"/>
    <s v="KAM CHOW"/>
    <x v="12"/>
    <s v="Bamboo Fan - Airmate"/>
    <x v="0"/>
    <x v="8"/>
    <x v="0"/>
    <d v="2015-01-01T00:00:00"/>
    <x v="1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405"/>
    <x v="1"/>
    <s v="KAM CHOW"/>
    <x v="12"/>
    <s v="Flat fan heater - Airmate"/>
    <x v="0"/>
    <x v="8"/>
    <x v="0"/>
    <d v="2015-01-01T00:00:00"/>
    <x v="1"/>
    <x v="5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2"/>
    <s v="Humidifer baby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408"/>
    <x v="1"/>
    <s v="KAM CHOW"/>
    <x v="12"/>
    <s v="nano steam v2 - SMT"/>
    <x v="0"/>
    <x v="10"/>
    <x v="0"/>
    <d v="2015-01-01T00:00:00"/>
    <x v="1"/>
    <x v="5"/>
    <s v="RP3-RP4"/>
    <m/>
    <m/>
    <x v="5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198"/>
    <x v="1"/>
    <s v="KAM CHOW"/>
    <x v="12"/>
    <s v="Nano steam v3 - SMT"/>
    <x v="0"/>
    <x v="10"/>
    <x v="0"/>
    <d v="2015-01-01T00:00:00"/>
    <x v="1"/>
    <x v="8"/>
    <s v="RP1-RP2"/>
    <m/>
    <m/>
    <x v="5"/>
    <s v="A"/>
    <n v="1"/>
    <m/>
    <m/>
    <m/>
    <m/>
    <m/>
    <m/>
    <m/>
    <m/>
    <m/>
    <m/>
    <m/>
    <m/>
    <m/>
    <m/>
    <n v="1"/>
    <n v="1"/>
    <m/>
    <m/>
    <n v="1"/>
    <s v="South"/>
  </r>
  <r>
    <x v="1"/>
    <n v="406"/>
    <x v="1"/>
    <s v="KAM CHOW"/>
    <x v="12"/>
    <s v="Premium AC HD - WIK"/>
    <x v="0"/>
    <x v="11"/>
    <x v="0"/>
    <d v="2015-01-01T00:00:00"/>
    <x v="1"/>
    <x v="5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409"/>
    <x v="1"/>
    <s v="KAM CHOW"/>
    <x v="12"/>
    <s v="SWA pump 5 bars - TK"/>
    <x v="0"/>
    <x v="9"/>
    <x v="1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199"/>
    <x v="1"/>
    <s v="KAM CHOW"/>
    <x v="12"/>
    <s v="Turbo Silence Fan upgrade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201"/>
    <x v="1"/>
    <s v="KAM CHOW"/>
    <x v="12"/>
    <s v="Turbo Silence Fan US - Airmate"/>
    <x v="0"/>
    <x v="8"/>
    <x v="0"/>
    <d v="2015-01-01T00:00:00"/>
    <x v="1"/>
    <x v="8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2"/>
    <s v="Ultimate styler - KF"/>
    <x v="0"/>
    <x v="12"/>
    <x v="0"/>
    <d v="2015-01-01T00:00:00"/>
    <x v="1"/>
    <x v="5"/>
    <s v="RP3-RP4"/>
    <m/>
    <m/>
    <x v="7"/>
    <s v="A"/>
    <m/>
    <n v="1"/>
    <m/>
    <m/>
    <m/>
    <m/>
    <m/>
    <m/>
    <m/>
    <m/>
    <m/>
    <m/>
    <m/>
    <m/>
    <m/>
    <n v="1"/>
    <m/>
    <n v="1"/>
    <m/>
    <m/>
    <s v="South"/>
  </r>
  <r>
    <x v="1"/>
    <n v="510"/>
    <x v="1"/>
    <s v="KAM CHOW"/>
    <x v="12"/>
    <s v="W&amp;D2 trimmer - Fairform"/>
    <x v="0"/>
    <x v="13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20"/>
    <x v="2"/>
    <s v="ALBERT CHAN"/>
    <x v="10"/>
    <s v="35-2119-29_Bahia Food Processer Brazil_Donlim [BAHIA Food Processor for Brazil - Donlim]"/>
    <x v="0"/>
    <x v="14"/>
    <x v="1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920"/>
    <x v="2"/>
    <s v="ALBERT CHAN"/>
    <x v="14"/>
    <s v="35-2119-29_Bahia Food Processer Brazil_Donlim [BAHIA Food Processor for Brazil - Donlim]"/>
    <x v="0"/>
    <x v="14"/>
    <x v="1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920"/>
    <x v="2"/>
    <s v="ALBERT CHAN"/>
    <x v="12"/>
    <s v="35-2119-29_Bahia Food Processer Brazil_Donlim [BAHIA Food Processor for Brazil - Donlim]"/>
    <x v="0"/>
    <x v="14"/>
    <x v="1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936"/>
    <x v="2"/>
    <s v="ERIC OU"/>
    <x v="10"/>
    <s v="18-0129-00 - BURNT RICE - YIDA"/>
    <x v="0"/>
    <x v="15"/>
    <x v="0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397"/>
    <x v="2"/>
    <s v="ERIC OU"/>
    <x v="10"/>
    <s v="35-0013-00 - COLOMBIA RICE COOKER - Hallsmart"/>
    <x v="0"/>
    <x v="16"/>
    <x v="1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36"/>
    <x v="2"/>
    <s v="ERIC OU"/>
    <x v="14"/>
    <s v="18-0129-00 - BURNT RICE - YIDA"/>
    <x v="0"/>
    <x v="15"/>
    <x v="0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397"/>
    <x v="2"/>
    <s v="ERIC OU"/>
    <x v="14"/>
    <s v="35-0013-00 - COLOMBIA RICE COOKER - Hallsmart"/>
    <x v="0"/>
    <x v="16"/>
    <x v="1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36"/>
    <x v="2"/>
    <s v="ERIC OU"/>
    <x v="12"/>
    <s v="18-0129-00 - BURNT RICE - YIDA"/>
    <x v="0"/>
    <x v="15"/>
    <x v="0"/>
    <d v="2015-01-01T00:00:00"/>
    <x v="1"/>
    <x v="2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397"/>
    <x v="2"/>
    <s v="ERIC OU"/>
    <x v="12"/>
    <s v="35-0013-00 - COLOMBIA RICE COOKER - Hallsmart"/>
    <x v="0"/>
    <x v="16"/>
    <x v="1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37"/>
    <x v="2"/>
    <s v="GARY FENG"/>
    <x v="10"/>
    <s v="18-0063-00 - 3mix 9000 stripe whisk - Main Power"/>
    <x v="0"/>
    <x v="17"/>
    <x v="0"/>
    <d v="2015-01-01T00:00:00"/>
    <x v="1"/>
    <x v="4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0"/>
    <s v="18-0063-00 - 3mix 9000 stripe whisk - Main Power"/>
    <x v="0"/>
    <x v="17"/>
    <x v="0"/>
    <d v="2015-01-01T00:00:00"/>
    <x v="1"/>
    <x v="0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0"/>
    <s v="18-0063-00 - 3mix 9000 stripe whisk - Main Power"/>
    <x v="0"/>
    <x v="17"/>
    <x v="0"/>
    <d v="2015-01-01T00:00:00"/>
    <x v="1"/>
    <x v="1"/>
    <s v="RP5 Closure"/>
    <n v="1"/>
    <m/>
    <x v="8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0"/>
    <s v="18-0063-00 - 3mix 9000 stripe whisk - Main Power"/>
    <x v="0"/>
    <x v="17"/>
    <x v="0"/>
    <d v="2015-01-01T00:00:00"/>
    <x v="1"/>
    <x v="3"/>
    <m/>
    <n v="1"/>
    <m/>
    <x v="8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0"/>
    <s v="18-0134-00 - 3mix 5000 Successor Hand Mixer - Allan"/>
    <x v="0"/>
    <x v="18"/>
    <x v="0"/>
    <d v="2015-01-01T00:00:00"/>
    <x v="1"/>
    <x v="8"/>
    <s v="RP1-RP2"/>
    <m/>
    <m/>
    <x v="9"/>
    <s v="A"/>
    <n v="1"/>
    <m/>
    <m/>
    <m/>
    <m/>
    <m/>
    <m/>
    <m/>
    <m/>
    <m/>
    <m/>
    <m/>
    <m/>
    <m/>
    <m/>
    <n v="1"/>
    <n v="1"/>
    <m/>
    <m/>
    <m/>
    <s v="South"/>
  </r>
  <r>
    <x v="1"/>
    <n v="564"/>
    <x v="2"/>
    <s v="GARY FENG"/>
    <x v="10"/>
    <s v="19-2045-00 - HT3 hand mixer (color variant) - Allan"/>
    <x v="0"/>
    <x v="18"/>
    <x v="0"/>
    <d v="2015-01-01T00:00:00"/>
    <x v="1"/>
    <x v="4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377"/>
    <x v="2"/>
    <s v="GARY FENG"/>
    <x v="10"/>
    <s v="29-0084-00 - Anthemis - Main Power"/>
    <x v="0"/>
    <x v="17"/>
    <x v="0"/>
    <d v="2015-01-01T00:00:00"/>
    <x v="1"/>
    <x v="5"/>
    <s v="RP3-RP4"/>
    <m/>
    <m/>
    <x v="8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197"/>
    <x v="2"/>
    <s v="GARY FENG"/>
    <x v="10"/>
    <s v="35-2137-19 - Amazon Coffee Grinder - Motor Electric"/>
    <x v="0"/>
    <x v="19"/>
    <x v="1"/>
    <d v="2015-01-01T00:00:00"/>
    <x v="1"/>
    <x v="8"/>
    <s v="RP1-RP2"/>
    <m/>
    <m/>
    <x v="10"/>
    <s v="A"/>
    <n v="1"/>
    <m/>
    <m/>
    <m/>
    <m/>
    <m/>
    <m/>
    <m/>
    <m/>
    <m/>
    <m/>
    <m/>
    <m/>
    <m/>
    <m/>
    <m/>
    <n v="1"/>
    <m/>
    <m/>
    <n v="1"/>
    <s v="South"/>
  </r>
  <r>
    <x v="1"/>
    <n v="403"/>
    <x v="2"/>
    <s v="GARY FENG"/>
    <x v="10"/>
    <s v="35-2137-19 - Amazon Coffee Grinder - Motor Electric"/>
    <x v="0"/>
    <x v="19"/>
    <x v="1"/>
    <d v="2015-02-01T00:00:00"/>
    <x v="0"/>
    <x v="5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537"/>
    <x v="2"/>
    <s v="GARY FENG"/>
    <x v="14"/>
    <s v="18-0063-00 - 3mix 9000 stripe whisk - Main Power"/>
    <x v="0"/>
    <x v="17"/>
    <x v="0"/>
    <d v="2015-01-01T00:00:00"/>
    <x v="1"/>
    <x v="4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4"/>
    <s v="18-0063-00 - 3mix 9000 stripe whisk - Main Power"/>
    <x v="0"/>
    <x v="17"/>
    <x v="0"/>
    <d v="2015-01-01T00:00:00"/>
    <x v="1"/>
    <x v="0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4"/>
    <s v="18-0063-00 - 3mix 9000 stripe whisk - Main Power"/>
    <x v="0"/>
    <x v="17"/>
    <x v="0"/>
    <d v="2015-01-01T00:00:00"/>
    <x v="1"/>
    <x v="1"/>
    <s v="RP5 Closure"/>
    <n v="1"/>
    <m/>
    <x v="8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4"/>
    <s v="18-0063-00 - 3mix 9000 stripe whisk - Main Power"/>
    <x v="0"/>
    <x v="17"/>
    <x v="0"/>
    <d v="2015-01-01T00:00:00"/>
    <x v="1"/>
    <x v="3"/>
    <m/>
    <n v="1"/>
    <m/>
    <x v="8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4"/>
    <s v="18-0134-00 - 3mix 5000 Successor Hand Mixer - Allan"/>
    <x v="0"/>
    <x v="18"/>
    <x v="0"/>
    <d v="2015-01-01T00:00:00"/>
    <x v="1"/>
    <x v="8"/>
    <s v="RP1-RP2"/>
    <m/>
    <m/>
    <x v="9"/>
    <s v="A"/>
    <n v="1"/>
    <m/>
    <m/>
    <m/>
    <m/>
    <m/>
    <m/>
    <m/>
    <m/>
    <m/>
    <m/>
    <m/>
    <m/>
    <m/>
    <m/>
    <n v="1"/>
    <n v="1"/>
    <m/>
    <m/>
    <m/>
    <s v="South"/>
  </r>
  <r>
    <x v="1"/>
    <n v="564"/>
    <x v="2"/>
    <s v="GARY FENG"/>
    <x v="14"/>
    <s v="19-2045-00 - HT3 hand mixer (color variant) - Allan"/>
    <x v="0"/>
    <x v="18"/>
    <x v="0"/>
    <d v="2015-01-01T00:00:00"/>
    <x v="1"/>
    <x v="4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377"/>
    <x v="2"/>
    <s v="GARY FENG"/>
    <x v="14"/>
    <s v="29-0084-00 - Anthemis - Main Power"/>
    <x v="0"/>
    <x v="17"/>
    <x v="0"/>
    <d v="2015-01-01T00:00:00"/>
    <x v="1"/>
    <x v="5"/>
    <s v="RP3-RP4"/>
    <m/>
    <m/>
    <x v="8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197"/>
    <x v="2"/>
    <s v="GARY FENG"/>
    <x v="14"/>
    <s v="35-2137-19 - Amazon Coffee Grinder - Motor Electric"/>
    <x v="0"/>
    <x v="19"/>
    <x v="1"/>
    <d v="2015-01-01T00:00:00"/>
    <x v="1"/>
    <x v="8"/>
    <s v="RP1-RP2"/>
    <m/>
    <m/>
    <x v="10"/>
    <s v="A"/>
    <n v="1"/>
    <m/>
    <m/>
    <m/>
    <m/>
    <m/>
    <m/>
    <m/>
    <m/>
    <m/>
    <m/>
    <m/>
    <m/>
    <m/>
    <m/>
    <m/>
    <n v="1"/>
    <m/>
    <m/>
    <n v="1"/>
    <s v="South"/>
  </r>
  <r>
    <x v="1"/>
    <n v="403"/>
    <x v="2"/>
    <s v="GARY FENG"/>
    <x v="14"/>
    <s v="35-2137-19 - Amazon Coffee Grinder - Motor Electric"/>
    <x v="0"/>
    <x v="19"/>
    <x v="1"/>
    <d v="2015-02-01T00:00:00"/>
    <x v="0"/>
    <x v="5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537"/>
    <x v="2"/>
    <s v="GARY FENG"/>
    <x v="12"/>
    <s v="18-0063-00 - 3mix 9000 stripe whisk - Main Power"/>
    <x v="0"/>
    <x v="17"/>
    <x v="0"/>
    <d v="2015-01-01T00:00:00"/>
    <x v="1"/>
    <x v="4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2"/>
    <s v="18-0063-00 - 3mix 9000 stripe whisk - Main Power"/>
    <x v="0"/>
    <x v="17"/>
    <x v="0"/>
    <d v="2015-01-01T00:00:00"/>
    <x v="1"/>
    <x v="0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2"/>
    <s v="18-0063-00 - 3mix 9000 stripe whisk - Main Power"/>
    <x v="0"/>
    <x v="17"/>
    <x v="0"/>
    <d v="2015-01-01T00:00:00"/>
    <x v="1"/>
    <x v="1"/>
    <s v="RP5 Closure"/>
    <n v="1"/>
    <m/>
    <x v="8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2"/>
    <s v="18-0063-00 - 3mix 9000 stripe whisk - Main Power"/>
    <x v="0"/>
    <x v="17"/>
    <x v="0"/>
    <d v="2015-01-01T00:00:00"/>
    <x v="1"/>
    <x v="3"/>
    <m/>
    <n v="1"/>
    <m/>
    <x v="8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2"/>
    <s v="18-0134-00 - 3mix 5000 Successor Hand Mixer - Allan"/>
    <x v="0"/>
    <x v="18"/>
    <x v="0"/>
    <d v="2015-01-01T00:00:00"/>
    <x v="1"/>
    <x v="8"/>
    <s v="RP1-RP2"/>
    <m/>
    <m/>
    <x v="9"/>
    <s v="A"/>
    <n v="1"/>
    <m/>
    <m/>
    <m/>
    <m/>
    <m/>
    <m/>
    <m/>
    <m/>
    <m/>
    <m/>
    <m/>
    <m/>
    <m/>
    <m/>
    <n v="1"/>
    <n v="1"/>
    <m/>
    <m/>
    <m/>
    <s v="South"/>
  </r>
  <r>
    <x v="1"/>
    <n v="564"/>
    <x v="2"/>
    <s v="GARY FENG"/>
    <x v="12"/>
    <s v="19-2045-00 - HT3 hand mixer (color variant) - Allan"/>
    <x v="0"/>
    <x v="18"/>
    <x v="0"/>
    <d v="2015-01-01T00:00:00"/>
    <x v="1"/>
    <x v="4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377"/>
    <x v="2"/>
    <s v="GARY FENG"/>
    <x v="12"/>
    <s v="29-0084-00 - Anthemis - Main Power"/>
    <x v="0"/>
    <x v="17"/>
    <x v="0"/>
    <d v="2015-01-01T00:00:00"/>
    <x v="1"/>
    <x v="5"/>
    <s v="RP3-RP4"/>
    <m/>
    <m/>
    <x v="8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197"/>
    <x v="2"/>
    <s v="GARY FENG"/>
    <x v="12"/>
    <s v="35-2137-19 - Amazon Coffee Grinder - Motor Electric"/>
    <x v="0"/>
    <x v="19"/>
    <x v="1"/>
    <d v="2015-01-01T00:00:00"/>
    <x v="1"/>
    <x v="8"/>
    <s v="RP1-RP2"/>
    <m/>
    <m/>
    <x v="10"/>
    <s v="A"/>
    <n v="1"/>
    <m/>
    <m/>
    <m/>
    <m/>
    <m/>
    <m/>
    <m/>
    <m/>
    <m/>
    <m/>
    <m/>
    <m/>
    <m/>
    <m/>
    <m/>
    <n v="1"/>
    <m/>
    <m/>
    <n v="1"/>
    <s v="South"/>
  </r>
  <r>
    <x v="1"/>
    <n v="403"/>
    <x v="2"/>
    <s v="GARY FENG"/>
    <x v="12"/>
    <s v="35-2137-19 - Amazon Coffee Grinder - Motor Electric"/>
    <x v="0"/>
    <x v="19"/>
    <x v="1"/>
    <d v="2015-02-01T00:00:00"/>
    <x v="0"/>
    <x v="5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94"/>
    <x v="3"/>
    <s v="ALBERT CHAN"/>
    <x v="10"/>
    <s v="18-0155-00_New F183_Homezest"/>
    <x v="0"/>
    <x v="20"/>
    <x v="0"/>
    <d v="2015-01-01T00:00:00"/>
    <x v="1"/>
    <x v="8"/>
    <s v="RP1-RP2"/>
    <m/>
    <m/>
    <x v="11"/>
    <s v="A"/>
    <n v="1"/>
    <m/>
    <m/>
    <m/>
    <m/>
    <m/>
    <m/>
    <m/>
    <m/>
    <m/>
    <m/>
    <m/>
    <m/>
    <m/>
    <m/>
    <m/>
    <n v="1"/>
    <m/>
    <m/>
    <n v="1"/>
    <s v="South"/>
  </r>
  <r>
    <x v="1"/>
    <n v="399"/>
    <x v="3"/>
    <s v="ALBERT CHAN"/>
    <x v="10"/>
    <s v="18-0155-00_New F183_Homezest"/>
    <x v="0"/>
    <x v="20"/>
    <x v="0"/>
    <d v="2015-02-01T00:00:00"/>
    <x v="0"/>
    <x v="5"/>
    <s v="RP3-RP4"/>
    <m/>
    <m/>
    <x v="11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953"/>
    <x v="3"/>
    <s v="ALBERT CHAN"/>
    <x v="10"/>
    <s v="35-1128-18_Spirit Of Tea Metal_DONLIM"/>
    <x v="0"/>
    <x v="14"/>
    <x v="1"/>
    <d v="2015-01-01T00:00:00"/>
    <x v="1"/>
    <x v="2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0"/>
    <s v="35-1129-18_Spirit Of Tea Plastic_DONLIM"/>
    <x v="0"/>
    <x v="14"/>
    <x v="1"/>
    <d v="2015-01-01T00:00:00"/>
    <x v="1"/>
    <x v="2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0"/>
    <s v="35-1134-18_CM306 PMS_Homezest"/>
    <x v="0"/>
    <x v="20"/>
    <x v="1"/>
    <d v="2015-02-01T00:00:00"/>
    <x v="0"/>
    <x v="4"/>
    <m/>
    <n v="1"/>
    <m/>
    <x v="11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0"/>
    <s v="35-1134-18_CM306 PMS_Homezest"/>
    <x v="0"/>
    <x v="20"/>
    <x v="1"/>
    <d v="2015-02-01T00:00:00"/>
    <x v="0"/>
    <x v="0"/>
    <s v="RP5 Closure"/>
    <n v="1"/>
    <m/>
    <x v="11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0"/>
    <s v="35-1134-18_CM306 PMS_Homezest"/>
    <x v="0"/>
    <x v="20"/>
    <x v="1"/>
    <d v="2015-02-01T00:00:00"/>
    <x v="0"/>
    <x v="1"/>
    <s v="RP5 Closure"/>
    <n v="1"/>
    <m/>
    <x v="11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ALBERT CHAN"/>
    <x v="10"/>
    <s v="35-1134-18_CM306 PMS_Homezest"/>
    <x v="0"/>
    <x v="20"/>
    <x v="1"/>
    <d v="2015-02-01T00:00:00"/>
    <x v="0"/>
    <x v="3"/>
    <m/>
    <n v="1"/>
    <m/>
    <x v="11"/>
    <s v="A"/>
    <m/>
    <m/>
    <m/>
    <n v="1"/>
    <m/>
    <m/>
    <m/>
    <m/>
    <m/>
    <m/>
    <m/>
    <m/>
    <m/>
    <m/>
    <m/>
    <m/>
    <m/>
    <m/>
    <n v="1"/>
    <m/>
    <s v="South"/>
  </r>
  <r>
    <x v="1"/>
    <n v="194"/>
    <x v="3"/>
    <s v="ALBERT CHAN"/>
    <x v="14"/>
    <s v="18-0155-00_New F183_Homezest"/>
    <x v="0"/>
    <x v="20"/>
    <x v="0"/>
    <d v="2015-01-01T00:00:00"/>
    <x v="1"/>
    <x v="8"/>
    <s v="RP1-RP2"/>
    <m/>
    <m/>
    <x v="11"/>
    <s v="A"/>
    <n v="1"/>
    <m/>
    <m/>
    <m/>
    <m/>
    <m/>
    <m/>
    <m/>
    <m/>
    <m/>
    <m/>
    <m/>
    <m/>
    <m/>
    <m/>
    <m/>
    <n v="1"/>
    <m/>
    <m/>
    <n v="1"/>
    <s v="South"/>
  </r>
  <r>
    <x v="1"/>
    <n v="399"/>
    <x v="3"/>
    <s v="ALBERT CHAN"/>
    <x v="14"/>
    <s v="18-0155-00_New F183_Homezest"/>
    <x v="0"/>
    <x v="20"/>
    <x v="0"/>
    <d v="2015-02-01T00:00:00"/>
    <x v="0"/>
    <x v="5"/>
    <s v="RP3-RP4"/>
    <m/>
    <m/>
    <x v="11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953"/>
    <x v="3"/>
    <s v="ALBERT CHAN"/>
    <x v="14"/>
    <s v="35-1128-18_Spirit Of Tea Metal_DONLIM"/>
    <x v="0"/>
    <x v="14"/>
    <x v="1"/>
    <d v="2015-01-01T00:00:00"/>
    <x v="1"/>
    <x v="2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4"/>
    <s v="35-1129-18_Spirit Of Tea Plastic_DONLIM"/>
    <x v="0"/>
    <x v="14"/>
    <x v="1"/>
    <d v="2015-01-01T00:00:00"/>
    <x v="1"/>
    <x v="2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4"/>
    <s v="35-1134-18_CM306 PMS_Homezest"/>
    <x v="0"/>
    <x v="20"/>
    <x v="1"/>
    <d v="2015-02-01T00:00:00"/>
    <x v="0"/>
    <x v="4"/>
    <m/>
    <n v="1"/>
    <m/>
    <x v="11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4"/>
    <s v="35-1134-18_CM306 PMS_Homezest"/>
    <x v="0"/>
    <x v="20"/>
    <x v="1"/>
    <d v="2015-02-01T00:00:00"/>
    <x v="0"/>
    <x v="0"/>
    <s v="RP5 Closure"/>
    <n v="1"/>
    <m/>
    <x v="11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4"/>
    <s v="35-1134-18_CM306 PMS_Homezest"/>
    <x v="0"/>
    <x v="20"/>
    <x v="1"/>
    <d v="2015-02-01T00:00:00"/>
    <x v="0"/>
    <x v="1"/>
    <s v="RP5 Closure"/>
    <n v="1"/>
    <m/>
    <x v="11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ALBERT CHAN"/>
    <x v="14"/>
    <s v="35-1134-18_CM306 PMS_Homezest"/>
    <x v="0"/>
    <x v="20"/>
    <x v="1"/>
    <d v="2015-02-01T00:00:00"/>
    <x v="0"/>
    <x v="3"/>
    <m/>
    <n v="1"/>
    <m/>
    <x v="11"/>
    <s v="A"/>
    <m/>
    <m/>
    <m/>
    <n v="1"/>
    <m/>
    <m/>
    <m/>
    <m/>
    <m/>
    <m/>
    <m/>
    <m/>
    <m/>
    <m/>
    <m/>
    <m/>
    <m/>
    <m/>
    <n v="1"/>
    <m/>
    <s v="South"/>
  </r>
  <r>
    <x v="1"/>
    <n v="194"/>
    <x v="3"/>
    <s v="ALBERT CHAN"/>
    <x v="12"/>
    <s v="18-0155-00_New F183_Homezest"/>
    <x v="0"/>
    <x v="20"/>
    <x v="0"/>
    <d v="2015-01-01T00:00:00"/>
    <x v="1"/>
    <x v="8"/>
    <s v="RP1-RP2"/>
    <m/>
    <m/>
    <x v="11"/>
    <s v="A"/>
    <n v="1"/>
    <m/>
    <m/>
    <m/>
    <m/>
    <m/>
    <m/>
    <m/>
    <m/>
    <m/>
    <m/>
    <m/>
    <m/>
    <m/>
    <m/>
    <m/>
    <n v="1"/>
    <m/>
    <m/>
    <n v="1"/>
    <s v="South"/>
  </r>
  <r>
    <x v="1"/>
    <n v="399"/>
    <x v="3"/>
    <s v="ALBERT CHAN"/>
    <x v="12"/>
    <s v="18-0155-00_New F183_Homezest"/>
    <x v="0"/>
    <x v="20"/>
    <x v="0"/>
    <d v="2015-02-01T00:00:00"/>
    <x v="0"/>
    <x v="5"/>
    <s v="RP3-RP4"/>
    <m/>
    <m/>
    <x v="11"/>
    <s v="A"/>
    <m/>
    <n v="1"/>
    <m/>
    <m/>
    <m/>
    <m/>
    <m/>
    <m/>
    <m/>
    <m/>
    <m/>
    <m/>
    <m/>
    <m/>
    <m/>
    <n v="1"/>
    <m/>
    <n v="1"/>
    <m/>
    <n v="1"/>
    <s v="South"/>
  </r>
  <r>
    <x v="1"/>
    <n v="953"/>
    <x v="3"/>
    <s v="ALBERT CHAN"/>
    <x v="12"/>
    <s v="35-1128-18_Spirit Of Tea Metal_DONLIM"/>
    <x v="0"/>
    <x v="14"/>
    <x v="1"/>
    <d v="2015-01-01T00:00:00"/>
    <x v="1"/>
    <x v="2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2"/>
    <s v="35-1129-18_Spirit Of Tea Plastic_DONLIM"/>
    <x v="0"/>
    <x v="14"/>
    <x v="1"/>
    <d v="2015-01-01T00:00:00"/>
    <x v="1"/>
    <x v="2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2"/>
    <s v="35-1134-18_CM306 PMS_Homezest"/>
    <x v="0"/>
    <x v="20"/>
    <x v="1"/>
    <d v="2015-02-01T00:00:00"/>
    <x v="0"/>
    <x v="4"/>
    <m/>
    <n v="1"/>
    <m/>
    <x v="11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2"/>
    <s v="35-1134-18_CM306 PMS_Homezest"/>
    <x v="0"/>
    <x v="20"/>
    <x v="1"/>
    <d v="2015-02-01T00:00:00"/>
    <x v="0"/>
    <x v="0"/>
    <s v="RP5 Closure"/>
    <n v="1"/>
    <m/>
    <x v="11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2"/>
    <s v="35-1134-18_CM306 PMS_Homezest"/>
    <x v="0"/>
    <x v="20"/>
    <x v="1"/>
    <d v="2015-02-01T00:00:00"/>
    <x v="0"/>
    <x v="1"/>
    <s v="RP5 Closure"/>
    <n v="1"/>
    <m/>
    <x v="11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ALBERT CHAN"/>
    <x v="12"/>
    <s v="35-1134-18_CM306 PMS_Homezest"/>
    <x v="0"/>
    <x v="20"/>
    <x v="1"/>
    <d v="2015-02-01T00:00:00"/>
    <x v="0"/>
    <x v="3"/>
    <m/>
    <n v="1"/>
    <m/>
    <x v="11"/>
    <s v="A"/>
    <m/>
    <m/>
    <m/>
    <n v="1"/>
    <m/>
    <m/>
    <m/>
    <m/>
    <m/>
    <m/>
    <m/>
    <m/>
    <m/>
    <m/>
    <m/>
    <m/>
    <m/>
    <m/>
    <n v="1"/>
    <m/>
    <s v="South"/>
  </r>
  <r>
    <x v="1"/>
    <n v="202"/>
    <x v="3"/>
    <s v="CYRIL CHOI"/>
    <x v="10"/>
    <s v="Mini tender- Vanilla Octopussy( FUXIN)"/>
    <x v="0"/>
    <x v="2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847"/>
    <x v="3"/>
    <s v="CYRIL CHOI"/>
    <x v="10"/>
    <s v="Minitender - Vanilla - Fuxin"/>
    <x v="0"/>
    <x v="22"/>
    <x v="0"/>
    <d v="2015-02-01T00:00:00"/>
    <x v="0"/>
    <x v="6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02"/>
    <x v="3"/>
    <s v="CYRIL CHOI"/>
    <x v="14"/>
    <s v="Mini tender- Vanilla Octopussy( FUXIN)"/>
    <x v="0"/>
    <x v="2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847"/>
    <x v="3"/>
    <s v="CYRIL CHOI"/>
    <x v="14"/>
    <s v="Minitender - Vanilla - Fuxin"/>
    <x v="0"/>
    <x v="22"/>
    <x v="0"/>
    <d v="2015-02-01T00:00:00"/>
    <x v="0"/>
    <x v="6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02"/>
    <x v="3"/>
    <s v="CYRIL CHOI"/>
    <x v="12"/>
    <s v="Mini tender- Vanilla Octopussy( FUXIN)"/>
    <x v="0"/>
    <x v="2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847"/>
    <x v="3"/>
    <s v="CYRIL CHOI"/>
    <x v="12"/>
    <s v="Minitender - Vanilla - Fuxin"/>
    <x v="0"/>
    <x v="22"/>
    <x v="0"/>
    <d v="2015-02-01T00:00:00"/>
    <x v="0"/>
    <x v="6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93"/>
    <x v="3"/>
    <s v="ERIC CHAN"/>
    <x v="10"/>
    <s v="35-1127-18-Express 2LS-YW"/>
    <x v="0"/>
    <x v="23"/>
    <x v="1"/>
    <d v="2015-01-01T00:00:00"/>
    <x v="1"/>
    <x v="0"/>
    <s v="RP5 Closure"/>
    <n v="1"/>
    <m/>
    <x v="12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0"/>
    <s v="35-1127-18-Express 2LS-YW"/>
    <x v="0"/>
    <x v="23"/>
    <x v="1"/>
    <d v="2015-01-01T00:00:00"/>
    <x v="1"/>
    <x v="1"/>
    <s v="RP5 Closure"/>
    <n v="2"/>
    <m/>
    <x v="12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0"/>
    <s v="35-1127-18-Express 2LS-YW"/>
    <x v="0"/>
    <x v="23"/>
    <x v="1"/>
    <d v="2015-02-01T00:00:00"/>
    <x v="0"/>
    <x v="2"/>
    <m/>
    <n v="1"/>
    <n v="2"/>
    <x v="12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0"/>
    <s v="35-1127-18-Express 2LS-YW"/>
    <x v="0"/>
    <x v="23"/>
    <x v="1"/>
    <d v="2015-01-01T00:00:00"/>
    <x v="1"/>
    <x v="3"/>
    <m/>
    <n v="2"/>
    <m/>
    <x v="12"/>
    <s v="B"/>
    <m/>
    <m/>
    <m/>
    <n v="1"/>
    <m/>
    <m/>
    <m/>
    <m/>
    <m/>
    <m/>
    <m/>
    <m/>
    <m/>
    <m/>
    <m/>
    <m/>
    <m/>
    <m/>
    <n v="1"/>
    <m/>
    <s v="South"/>
  </r>
  <r>
    <x v="1"/>
    <n v="693"/>
    <x v="3"/>
    <s v="ERIC CHAN"/>
    <x v="14"/>
    <s v="35-1127-18-Express 2LS-YW"/>
    <x v="0"/>
    <x v="23"/>
    <x v="1"/>
    <d v="2015-01-01T00:00:00"/>
    <x v="1"/>
    <x v="0"/>
    <s v="RP5 Closure"/>
    <n v="1"/>
    <m/>
    <x v="12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4"/>
    <s v="35-1127-18-Express 2LS-YW"/>
    <x v="0"/>
    <x v="23"/>
    <x v="1"/>
    <d v="2015-01-01T00:00:00"/>
    <x v="1"/>
    <x v="1"/>
    <s v="RP5 Closure"/>
    <n v="2"/>
    <m/>
    <x v="12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4"/>
    <s v="35-1127-18-Express 2LS-YW"/>
    <x v="0"/>
    <x v="23"/>
    <x v="1"/>
    <d v="2015-02-01T00:00:00"/>
    <x v="0"/>
    <x v="2"/>
    <m/>
    <n v="1"/>
    <n v="2"/>
    <x v="12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4"/>
    <s v="35-1127-18-Express 2LS-YW"/>
    <x v="0"/>
    <x v="23"/>
    <x v="1"/>
    <d v="2015-01-01T00:00:00"/>
    <x v="1"/>
    <x v="3"/>
    <m/>
    <n v="2"/>
    <m/>
    <x v="12"/>
    <s v="B"/>
    <m/>
    <m/>
    <m/>
    <n v="1"/>
    <m/>
    <m/>
    <m/>
    <m/>
    <m/>
    <m/>
    <m/>
    <m/>
    <m/>
    <m/>
    <m/>
    <m/>
    <m/>
    <m/>
    <n v="1"/>
    <m/>
    <s v="South"/>
  </r>
  <r>
    <x v="1"/>
    <n v="693"/>
    <x v="3"/>
    <s v="ERIC CHAN"/>
    <x v="12"/>
    <s v="35-1127-18-Express 2LS-YW"/>
    <x v="0"/>
    <x v="23"/>
    <x v="1"/>
    <d v="2015-01-01T00:00:00"/>
    <x v="1"/>
    <x v="0"/>
    <s v="RP5 Closure"/>
    <n v="1"/>
    <m/>
    <x v="12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2"/>
    <s v="35-1127-18-Express 2LS-YW"/>
    <x v="0"/>
    <x v="23"/>
    <x v="1"/>
    <d v="2015-01-01T00:00:00"/>
    <x v="1"/>
    <x v="1"/>
    <s v="RP5 Closure"/>
    <n v="2"/>
    <m/>
    <x v="12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2"/>
    <s v="35-1127-18-Express 2LS-YW"/>
    <x v="0"/>
    <x v="23"/>
    <x v="1"/>
    <d v="2015-02-01T00:00:00"/>
    <x v="0"/>
    <x v="2"/>
    <m/>
    <n v="1"/>
    <n v="2"/>
    <x v="12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2"/>
    <s v="35-1127-18-Express 2LS-YW"/>
    <x v="0"/>
    <x v="23"/>
    <x v="1"/>
    <d v="2015-01-01T00:00:00"/>
    <x v="1"/>
    <x v="3"/>
    <m/>
    <n v="2"/>
    <m/>
    <x v="12"/>
    <s v="B"/>
    <m/>
    <m/>
    <m/>
    <n v="1"/>
    <m/>
    <m/>
    <m/>
    <m/>
    <m/>
    <m/>
    <m/>
    <m/>
    <m/>
    <m/>
    <m/>
    <m/>
    <m/>
    <m/>
    <n v="1"/>
    <m/>
    <s v="South"/>
  </r>
  <r>
    <x v="1"/>
    <n v="415"/>
    <x v="4"/>
    <s v="GARY LAI"/>
    <x v="13"/>
    <s v="Actifry HS (connected) - DEFOND"/>
    <x v="0"/>
    <x v="24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597"/>
    <x v="4"/>
    <s v="GARY LAI"/>
    <x v="13"/>
    <s v="Cube Accessory - Wing Keung"/>
    <x v="0"/>
    <x v="25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738"/>
    <x v="4"/>
    <s v="GARY LAI"/>
    <x v="13"/>
    <s v="Cube Accessory - Wing Keung"/>
    <x v="0"/>
    <x v="25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GARY LAI"/>
    <x v="13"/>
    <s v="Cube Accessory - Wing Keung"/>
    <x v="0"/>
    <x v="25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664"/>
    <x v="4"/>
    <s v="GARY LAI"/>
    <x v="13"/>
    <s v="Speed One Electronic Box – DEFOND"/>
    <x v="0"/>
    <x v="24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05"/>
    <x v="4"/>
    <s v="GARY LAI"/>
    <x v="13"/>
    <s v="Speed One Electronic Box – DEFOND"/>
    <x v="0"/>
    <x v="24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GARY LAI"/>
    <x v="13"/>
    <s v="Speed One Electronic Box – DEFOND"/>
    <x v="0"/>
    <x v="24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60"/>
    <x v="4"/>
    <s v="KENNETH TANG"/>
    <x v="13"/>
    <s v="FTR Shutoff Subset - H3 "/>
    <x v="0"/>
    <x v="26"/>
    <x v="0"/>
    <d v="2015-02-01T00:00:00"/>
    <x v="0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2"/>
    <x v="4"/>
    <s v="KENNETH TANG"/>
    <x v="13"/>
    <s v="FTR Shutoff Subset - H3 "/>
    <x v="0"/>
    <x v="26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3"/>
    <x v="4"/>
    <s v="KENNETH TANG"/>
    <x v="13"/>
    <s v="FTR Shutoff Subset - H3 "/>
    <x v="0"/>
    <x v="26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3"/>
    <s v="FTR Shutoff Subset - H3 "/>
    <x v="0"/>
    <x v="26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24"/>
    <x v="4"/>
    <s v="KENNETH TANG"/>
    <x v="13"/>
    <s v="GRL Front Panel - VS [GRL Front Panel (Mechanical Version)]"/>
    <x v="0"/>
    <x v="27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77"/>
    <x v="4"/>
    <s v="KENNETH TANG"/>
    <x v="13"/>
    <s v="GRL Front Panel - VS [GRL Front Panel (Mechanical Version)]"/>
    <x v="0"/>
    <x v="27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18"/>
    <x v="4"/>
    <s v="KENNETH TANG"/>
    <x v="13"/>
    <s v="GRL Front Panel - VS [GRL Front Panel (Mechanical Version)]"/>
    <x v="0"/>
    <x v="27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3"/>
    <s v="GRL Front Panel - VS [GRL Front Panel (Mechanical Version)]"/>
    <x v="0"/>
    <x v="27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41"/>
    <x v="4"/>
    <s v="KENNETH TANG"/>
    <x v="13"/>
    <s v="GRL Front Panel (Electronic Version) - VS"/>
    <x v="0"/>
    <x v="27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5"/>
    <x v="4"/>
    <s v="KENNETH TANG"/>
    <x v="13"/>
    <s v="GRL Front Panel (Electronic Version) - VS"/>
    <x v="0"/>
    <x v="27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6"/>
    <x v="4"/>
    <s v="KENNETH TANG"/>
    <x v="13"/>
    <s v="GRL Front Panel (Electronic Version) - VS"/>
    <x v="0"/>
    <x v="27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3"/>
    <s v="GRL Front Panel (Electronic Version) - VS"/>
    <x v="0"/>
    <x v="27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416"/>
    <x v="4"/>
    <s v="KENNETH TANG"/>
    <x v="13"/>
    <s v="GRL Front Panel (UL Version) - VS"/>
    <x v="0"/>
    <x v="27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417"/>
    <x v="4"/>
    <s v="KENNETH TANG"/>
    <x v="13"/>
    <s v="GRL Handle Subset (UL Version) - NL"/>
    <x v="0"/>
    <x v="28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559"/>
    <x v="4"/>
    <s v="KENNETH TANG"/>
    <x v="13"/>
    <s v="GRL Handle Subset [Electronic Version] - NL"/>
    <x v="0"/>
    <x v="28"/>
    <x v="0"/>
    <d v="2015-02-01T00:00:00"/>
    <x v="0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1"/>
    <x v="4"/>
    <s v="KENNETH TANG"/>
    <x v="13"/>
    <s v="GRL Handle Subset [Electronic Version] - NL"/>
    <x v="0"/>
    <x v="28"/>
    <x v="0"/>
    <d v="2015-02-01T00:00:00"/>
    <x v="0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2"/>
    <x v="4"/>
    <s v="KENNETH TANG"/>
    <x v="13"/>
    <s v="GRL Handle Subset [Electronic Version] - NL"/>
    <x v="0"/>
    <x v="28"/>
    <x v="0"/>
    <d v="2015-02-01T00:00:00"/>
    <x v="0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3"/>
    <s v="GRL Handle Subset [Electronic Version] - NL"/>
    <x v="0"/>
    <x v="28"/>
    <x v="0"/>
    <d v="2015-02-01T00:00:00"/>
    <x v="0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58"/>
    <x v="4"/>
    <s v="KENNETH TANG"/>
    <x v="13"/>
    <s v="GRL Handle Subset [Mechanical Version] - NL"/>
    <x v="0"/>
    <x v="28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0"/>
    <x v="4"/>
    <s v="KENNETH TANG"/>
    <x v="13"/>
    <s v="GRL Handle Subset [Mechanical Version] - NL"/>
    <x v="0"/>
    <x v="28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1"/>
    <x v="4"/>
    <s v="KENNETH TANG"/>
    <x v="13"/>
    <s v="GRL Handle Subset [Mechanical Version] - NL"/>
    <x v="0"/>
    <x v="28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3"/>
    <s v="GRL Handle Subset [Mechanical Version] - NL"/>
    <x v="0"/>
    <x v="28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69"/>
    <x v="4"/>
    <s v="KENNETH TANG"/>
    <x v="13"/>
    <s v="GTW Front Panel - VS"/>
    <x v="0"/>
    <x v="27"/>
    <x v="0"/>
    <d v="2015-01-01T00:00:00"/>
    <x v="1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204"/>
    <x v="4"/>
    <s v="KENNY CHAN"/>
    <x v="15"/>
    <s v="Chopstick - Team Concept"/>
    <x v="0"/>
    <x v="29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1"/>
    <x v="4"/>
    <s v="KENNY CHAN"/>
    <x v="15"/>
    <s v="Chopstick - Team Concept"/>
    <x v="0"/>
    <x v="29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538"/>
    <x v="4"/>
    <s v="KENNY CHAN"/>
    <x v="15"/>
    <s v="Fresh Kitchen Knives (2nd Generation) - SSI"/>
    <x v="0"/>
    <x v="30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2"/>
    <x v="4"/>
    <s v="KENNY CHAN"/>
    <x v="15"/>
    <s v="Fresh Kitchen Knives (2nd Generation) - SSI"/>
    <x v="0"/>
    <x v="30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3"/>
    <x v="4"/>
    <s v="KENNY CHAN"/>
    <x v="15"/>
    <s v="Fresh Kitchen Knives (2nd Generation) - SSI"/>
    <x v="0"/>
    <x v="30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Fresh Kitchen Knives (2nd Generation) - SSI"/>
    <x v="0"/>
    <x v="30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3"/>
    <x v="4"/>
    <s v="KENNY CHAN"/>
    <x v="15"/>
    <s v="Rice Spoon - Team Concept"/>
    <x v="0"/>
    <x v="29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0"/>
    <x v="4"/>
    <s v="KENNY CHAN"/>
    <x v="15"/>
    <s v="Rice Spoon - Team Concept"/>
    <x v="0"/>
    <x v="29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204"/>
    <x v="4"/>
    <s v="KENNY CHAN"/>
    <x v="10"/>
    <s v="Chopstick - Team Concept"/>
    <x v="0"/>
    <x v="29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1"/>
    <x v="4"/>
    <s v="KENNY CHAN"/>
    <x v="10"/>
    <s v="Chopstick - Team Concept"/>
    <x v="0"/>
    <x v="29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538"/>
    <x v="4"/>
    <s v="KENNY CHAN"/>
    <x v="10"/>
    <s v="Fresh Kitchen Knives (2nd Generation) - SSI"/>
    <x v="0"/>
    <x v="30"/>
    <x v="0"/>
    <d v="2015-01-01T00:00:00"/>
    <x v="1"/>
    <x v="4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2"/>
    <x v="4"/>
    <s v="KENNY CHAN"/>
    <x v="10"/>
    <s v="Fresh Kitchen Knives (2nd Generation) - SSI"/>
    <x v="0"/>
    <x v="30"/>
    <x v="0"/>
    <d v="2015-01-01T00:00:00"/>
    <x v="1"/>
    <x v="0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3"/>
    <x v="4"/>
    <s v="KENNY CHAN"/>
    <x v="10"/>
    <s v="Fresh Kitchen Knives (2nd Generation) - SSI"/>
    <x v="0"/>
    <x v="30"/>
    <x v="0"/>
    <d v="2015-01-01T00:00:00"/>
    <x v="1"/>
    <x v="1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0"/>
    <s v="Fresh Kitchen Knives (2nd Generation) - SSI"/>
    <x v="0"/>
    <x v="30"/>
    <x v="0"/>
    <d v="2015-01-01T00:00:00"/>
    <x v="1"/>
    <x v="3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3"/>
    <x v="4"/>
    <s v="KENNY CHAN"/>
    <x v="10"/>
    <s v="Rice Spoon - Team Concept"/>
    <x v="0"/>
    <x v="29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0"/>
    <x v="4"/>
    <s v="KENNY CHAN"/>
    <x v="10"/>
    <s v="Rice Spoon - Team Concept"/>
    <x v="0"/>
    <x v="29"/>
    <x v="0"/>
    <d v="2015-02-01T00:00:00"/>
    <x v="0"/>
    <x v="5"/>
    <s v="RP3-RP4"/>
    <m/>
    <m/>
    <x v="0"/>
    <m/>
    <m/>
    <n v="1"/>
    <m/>
    <m/>
    <m/>
    <m/>
    <m/>
    <m/>
    <m/>
    <m/>
    <m/>
    <m/>
    <m/>
    <m/>
    <m/>
    <n v="1"/>
    <m/>
    <n v="1"/>
    <m/>
    <n v="1"/>
    <s v="South"/>
  </r>
  <r>
    <x v="1"/>
    <n v="927"/>
    <x v="4"/>
    <s v="PALMER LI"/>
    <x v="15"/>
    <s v="ALL CLAD 12QT CLASSIC 4pcs set - Linkfair"/>
    <x v="0"/>
    <x v="31"/>
    <x v="0"/>
    <d v="2015-01-01T00:00:00"/>
    <x v="1"/>
    <x v="2"/>
    <m/>
    <n v="1"/>
    <n v="1"/>
    <x v="13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561"/>
    <x v="4"/>
    <s v="PALMER LI"/>
    <x v="15"/>
    <s v="Duet 2pcs set Korea - Linkfair"/>
    <x v="0"/>
    <x v="31"/>
    <x v="0"/>
    <d v="2015-01-01T00:00:00"/>
    <x v="1"/>
    <x v="4"/>
    <m/>
    <n v="1"/>
    <m/>
    <x v="13"/>
    <s v="B"/>
    <m/>
    <m/>
    <n v="1"/>
    <m/>
    <m/>
    <m/>
    <m/>
    <m/>
    <n v="0"/>
    <m/>
    <m/>
    <m/>
    <m/>
    <m/>
    <m/>
    <m/>
    <m/>
    <m/>
    <m/>
    <m/>
    <s v="South"/>
  </r>
  <r>
    <x v="1"/>
    <n v="703"/>
    <x v="4"/>
    <s v="PALMER LI"/>
    <x v="15"/>
    <s v="Duet 2pcs set Korea - Linkfair"/>
    <x v="0"/>
    <x v="31"/>
    <x v="0"/>
    <d v="2015-01-01T00:00:00"/>
    <x v="1"/>
    <x v="0"/>
    <s v="RP5 Closure"/>
    <n v="1"/>
    <m/>
    <x v="13"/>
    <s v="B"/>
    <m/>
    <m/>
    <m/>
    <m/>
    <n v="1"/>
    <m/>
    <m/>
    <m/>
    <m/>
    <m/>
    <m/>
    <n v="0"/>
    <m/>
    <m/>
    <m/>
    <m/>
    <m/>
    <m/>
    <m/>
    <m/>
    <s v="South"/>
  </r>
  <r>
    <x v="1"/>
    <n v="844"/>
    <x v="4"/>
    <s v="PALMER LI"/>
    <x v="15"/>
    <s v="Duet 2pcs set Korea - Linkfair"/>
    <x v="0"/>
    <x v="31"/>
    <x v="0"/>
    <d v="2015-01-01T00:00:00"/>
    <x v="1"/>
    <x v="1"/>
    <s v="RP5 Closure"/>
    <n v="1"/>
    <m/>
    <x v="13"/>
    <s v="B"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PALMER LI"/>
    <x v="15"/>
    <s v="Duet 2pcs set Korea - Linkfair"/>
    <x v="0"/>
    <x v="31"/>
    <x v="0"/>
    <d v="2015-01-01T00:00:00"/>
    <x v="1"/>
    <x v="3"/>
    <m/>
    <n v="1"/>
    <m/>
    <x v="13"/>
    <s v="B"/>
    <m/>
    <m/>
    <m/>
    <n v="1"/>
    <m/>
    <m/>
    <m/>
    <m/>
    <m/>
    <m/>
    <m/>
    <m/>
    <m/>
    <m/>
    <m/>
    <m/>
    <m/>
    <m/>
    <n v="1"/>
    <m/>
    <s v="South"/>
  </r>
  <r>
    <x v="1"/>
    <n v="210"/>
    <x v="4"/>
    <s v="PALMER LI"/>
    <x v="15"/>
    <s v="INTUITION  with TURKISH handles open stock - Linkfair"/>
    <x v="0"/>
    <x v="31"/>
    <x v="0"/>
    <d v="2015-02-01T00:00:00"/>
    <x v="0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1"/>
    <n v="412"/>
    <x v="4"/>
    <s v="PALMER LI"/>
    <x v="15"/>
    <s v="INTUITION  with TURKISH handles open stock - Linkfair"/>
    <x v="0"/>
    <x v="31"/>
    <x v="0"/>
    <d v="2015-02-01T00:00:00"/>
    <x v="0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n v="1"/>
    <s v="South"/>
  </r>
  <r>
    <x v="1"/>
    <n v="195"/>
    <x v="4"/>
    <s v="PALMER LI"/>
    <x v="15"/>
    <s v="INTUITION 5pcs set with TURKISH handles - Linkfair"/>
    <x v="0"/>
    <x v="31"/>
    <x v="0"/>
    <d v="2015-01-01T00:00:00"/>
    <x v="1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1"/>
    <n v="400"/>
    <x v="4"/>
    <s v="PALMER LI"/>
    <x v="15"/>
    <s v="INTUITION 5pcs set with TURKISH handles - Linkfair"/>
    <x v="0"/>
    <x v="31"/>
    <x v="0"/>
    <d v="2015-02-01T00:00:00"/>
    <x v="0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m/>
    <s v="South"/>
  </r>
  <r>
    <x v="1"/>
    <n v="196"/>
    <x v="4"/>
    <s v="PALMER LI"/>
    <x v="15"/>
    <s v="KAUFLAND Loyalty 2015 - Linkfair"/>
    <x v="0"/>
    <x v="31"/>
    <x v="0"/>
    <d v="2015-01-01T00:00:00"/>
    <x v="1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1"/>
    <n v="401"/>
    <x v="4"/>
    <s v="PALMER LI"/>
    <x v="15"/>
    <s v="KAUFLAND Loyalty 2015 - Linkfair"/>
    <x v="0"/>
    <x v="31"/>
    <x v="0"/>
    <d v="2015-01-01T00:00:00"/>
    <x v="1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m/>
    <s v="South"/>
  </r>
  <r>
    <x v="1"/>
    <n v="208"/>
    <x v="4"/>
    <s v="PALMER LI"/>
    <x v="15"/>
    <s v="Proflex Collapsible 6 Muffins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205"/>
    <x v="4"/>
    <s v="PALMER LI"/>
    <x v="15"/>
    <s v="Proflex Collapsible Manqué 20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209"/>
    <x v="4"/>
    <s v="PALMER LI"/>
    <x v="15"/>
    <s v="Proflex Cookie Cutter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207"/>
    <x v="4"/>
    <s v="PALMER LI"/>
    <x v="15"/>
    <s v="Proflex PINK HOLI NORMAL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206"/>
    <x v="4"/>
    <s v="PALMER LI"/>
    <x v="15"/>
    <s v="Proflex PINK HOLI TRANSLUCID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27"/>
    <x v="4"/>
    <s v="PALMER LI"/>
    <x v="10"/>
    <s v="ALL CLAD 12QT CLASSIC 4pcs set - Linkfair"/>
    <x v="0"/>
    <x v="31"/>
    <x v="0"/>
    <d v="2015-01-01T00:00:00"/>
    <x v="1"/>
    <x v="2"/>
    <m/>
    <n v="1"/>
    <n v="1"/>
    <x v="13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561"/>
    <x v="4"/>
    <s v="PALMER LI"/>
    <x v="10"/>
    <s v="Duet 2pcs set Korea - Linkfair"/>
    <x v="0"/>
    <x v="31"/>
    <x v="0"/>
    <d v="2015-01-01T00:00:00"/>
    <x v="1"/>
    <x v="4"/>
    <m/>
    <n v="1"/>
    <m/>
    <x v="13"/>
    <s v="B"/>
    <m/>
    <m/>
    <n v="1"/>
    <m/>
    <m/>
    <m/>
    <m/>
    <m/>
    <n v="0"/>
    <m/>
    <m/>
    <m/>
    <m/>
    <m/>
    <m/>
    <m/>
    <m/>
    <m/>
    <m/>
    <m/>
    <s v="South"/>
  </r>
  <r>
    <x v="1"/>
    <n v="703"/>
    <x v="4"/>
    <s v="PALMER LI"/>
    <x v="10"/>
    <s v="Duet 2pcs set Korea - Linkfair"/>
    <x v="0"/>
    <x v="31"/>
    <x v="0"/>
    <d v="2015-01-01T00:00:00"/>
    <x v="1"/>
    <x v="0"/>
    <s v="RP5 Closure"/>
    <n v="1"/>
    <m/>
    <x v="13"/>
    <s v="B"/>
    <m/>
    <m/>
    <m/>
    <m/>
    <n v="1"/>
    <m/>
    <m/>
    <m/>
    <m/>
    <m/>
    <m/>
    <n v="0"/>
    <m/>
    <m/>
    <m/>
    <m/>
    <m/>
    <m/>
    <m/>
    <m/>
    <s v="South"/>
  </r>
  <r>
    <x v="1"/>
    <n v="844"/>
    <x v="4"/>
    <s v="PALMER LI"/>
    <x v="10"/>
    <s v="Duet 2pcs set Korea - Linkfair"/>
    <x v="0"/>
    <x v="31"/>
    <x v="0"/>
    <d v="2015-01-01T00:00:00"/>
    <x v="1"/>
    <x v="1"/>
    <s v="RP5 Closure"/>
    <n v="1"/>
    <m/>
    <x v="13"/>
    <s v="B"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PALMER LI"/>
    <x v="10"/>
    <s v="Duet 2pcs set Korea - Linkfair"/>
    <x v="0"/>
    <x v="31"/>
    <x v="0"/>
    <d v="2015-01-01T00:00:00"/>
    <x v="1"/>
    <x v="3"/>
    <m/>
    <n v="1"/>
    <m/>
    <x v="13"/>
    <s v="B"/>
    <m/>
    <m/>
    <m/>
    <n v="1"/>
    <m/>
    <m/>
    <m/>
    <m/>
    <m/>
    <m/>
    <m/>
    <m/>
    <m/>
    <m/>
    <m/>
    <m/>
    <m/>
    <m/>
    <n v="1"/>
    <m/>
    <s v="South"/>
  </r>
  <r>
    <x v="1"/>
    <n v="210"/>
    <x v="4"/>
    <s v="PALMER LI"/>
    <x v="10"/>
    <s v="INTUITION  with TURKISH handles open stock - Linkfair"/>
    <x v="0"/>
    <x v="31"/>
    <x v="0"/>
    <d v="2015-02-01T00:00:00"/>
    <x v="0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1"/>
    <n v="412"/>
    <x v="4"/>
    <s v="PALMER LI"/>
    <x v="10"/>
    <s v="INTUITION  with TURKISH handles open stock - Linkfair"/>
    <x v="0"/>
    <x v="31"/>
    <x v="0"/>
    <d v="2015-02-01T00:00:00"/>
    <x v="0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n v="1"/>
    <s v="South"/>
  </r>
  <r>
    <x v="1"/>
    <n v="195"/>
    <x v="4"/>
    <s v="PALMER LI"/>
    <x v="10"/>
    <s v="INTUITION 5pcs set with TURKISH handles - Linkfair"/>
    <x v="0"/>
    <x v="31"/>
    <x v="0"/>
    <d v="2015-01-01T00:00:00"/>
    <x v="1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1"/>
    <n v="400"/>
    <x v="4"/>
    <s v="PALMER LI"/>
    <x v="10"/>
    <s v="INTUITION 5pcs set with TURKISH handles - Linkfair"/>
    <x v="0"/>
    <x v="31"/>
    <x v="0"/>
    <d v="2015-02-01T00:00:00"/>
    <x v="0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m/>
    <s v="South"/>
  </r>
  <r>
    <x v="1"/>
    <n v="196"/>
    <x v="4"/>
    <s v="PALMER LI"/>
    <x v="10"/>
    <s v="KAUFLAND Loyalty 2015 - Linkfair"/>
    <x v="0"/>
    <x v="31"/>
    <x v="0"/>
    <d v="2015-01-01T00:00:00"/>
    <x v="1"/>
    <x v="8"/>
    <s v="RP1-RP2"/>
    <m/>
    <m/>
    <x v="13"/>
    <s v="B"/>
    <n v="1"/>
    <m/>
    <m/>
    <m/>
    <m/>
    <m/>
    <m/>
    <m/>
    <m/>
    <m/>
    <m/>
    <m/>
    <m/>
    <m/>
    <m/>
    <m/>
    <n v="1"/>
    <m/>
    <m/>
    <m/>
    <s v="South"/>
  </r>
  <r>
    <x v="1"/>
    <n v="401"/>
    <x v="4"/>
    <s v="PALMER LI"/>
    <x v="10"/>
    <s v="KAUFLAND Loyalty 2015 - Linkfair"/>
    <x v="0"/>
    <x v="31"/>
    <x v="0"/>
    <d v="2015-01-01T00:00:00"/>
    <x v="1"/>
    <x v="5"/>
    <s v="RP3-RP4"/>
    <m/>
    <m/>
    <x v="13"/>
    <s v="B"/>
    <m/>
    <n v="1"/>
    <m/>
    <m/>
    <m/>
    <m/>
    <m/>
    <m/>
    <m/>
    <m/>
    <m/>
    <m/>
    <m/>
    <m/>
    <m/>
    <n v="1"/>
    <m/>
    <n v="1"/>
    <m/>
    <m/>
    <s v="South"/>
  </r>
  <r>
    <x v="1"/>
    <n v="208"/>
    <x v="4"/>
    <s v="PALMER LI"/>
    <x v="10"/>
    <s v="Proflex Collapsible 6 Muffins - Techlink"/>
    <x v="0"/>
    <x v="32"/>
    <x v="0"/>
    <d v="2015-02-01T00:00:00"/>
    <x v="0"/>
    <x v="8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AD39" firstHeaderRow="1" firstDataRow="3" firstDataCol="3" rowPageCount="2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5"/>
        <item x="3"/>
        <item x="4"/>
        <item x="2"/>
        <item x="6"/>
        <item x="8"/>
        <item x="1"/>
        <item x="0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0">
    <i>
      <x/>
      <x/>
      <x/>
    </i>
    <i r="2">
      <x v="1"/>
    </i>
    <i r="2">
      <x v="2"/>
    </i>
    <i r="2">
      <x v="3"/>
    </i>
    <i r="2">
      <x v="4"/>
    </i>
    <i r="2">
      <x v="5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5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1"/>
    <field x="10"/>
  </colFields>
  <colItems count="27">
    <i>
      <x/>
      <x v="1"/>
    </i>
    <i r="1">
      <x v="2"/>
    </i>
    <i t="default">
      <x/>
    </i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>
      <x v="8"/>
      <x v="1"/>
    </i>
    <i t="default">
      <x v="8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AC27" firstHeaderRow="1" firstDataRow="3" firstDataCol="2" rowPageCount="3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5"/>
        <item x="3"/>
        <item x="4"/>
        <item x="2"/>
        <item x="6"/>
        <item x="8"/>
        <item x="1"/>
        <item x="0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5"/>
    </i>
    <i t="default">
      <x v="1"/>
    </i>
    <i t="grand">
      <x/>
    </i>
  </rowItems>
  <colFields count="2">
    <field x="11"/>
    <field x="10"/>
  </colFields>
  <colItems count="27">
    <i>
      <x/>
      <x v="1"/>
    </i>
    <i r="1">
      <x v="2"/>
    </i>
    <i t="default">
      <x/>
    </i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>
      <x v="8"/>
      <x v="1"/>
    </i>
    <i t="default">
      <x v="8"/>
    </i>
    <i t="grand">
      <x/>
    </i>
  </colItems>
  <pageFields count="3">
    <pageField fld="6" hier="-1"/>
    <pageField fld="38" hier="-1"/>
    <pageField fld="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AD34" firstHeaderRow="1" firstDataRow="3" firstDataCol="3" rowPageCount="2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5"/>
        <item x="3"/>
        <item x="4"/>
        <item x="2"/>
        <item x="6"/>
        <item x="8"/>
        <item x="1"/>
        <item x="0"/>
        <item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1"/>
    <field x="10"/>
  </colFields>
  <colItems count="27">
    <i>
      <x/>
      <x v="1"/>
    </i>
    <i r="1">
      <x v="2"/>
    </i>
    <i t="default">
      <x/>
    </i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>
      <x v="8"/>
      <x v="1"/>
    </i>
    <i t="default">
      <x v="8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7:Q80" firstHeaderRow="1" firstDataRow="2" firstDataCol="4" rowPageCount="2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8"/>
    <field x="4"/>
    <field x="10"/>
  </rowFields>
  <rowItems count="72">
    <i>
      <x/>
      <x/>
      <x/>
      <x v="1"/>
    </i>
    <i r="3">
      <x v="2"/>
    </i>
    <i t="default" r="2">
      <x/>
    </i>
    <i r="2">
      <x v="1"/>
      <x v="1"/>
    </i>
    <i r="3">
      <x v="2"/>
    </i>
    <i t="default" r="2">
      <x v="1"/>
    </i>
    <i r="2">
      <x v="2"/>
      <x v="1"/>
    </i>
    <i t="default" r="2">
      <x v="2"/>
    </i>
    <i r="2">
      <x v="3"/>
      <x v="1"/>
    </i>
    <i t="default" r="2">
      <x v="3"/>
    </i>
    <i r="2">
      <x v="4"/>
      <x v="1"/>
    </i>
    <i r="3">
      <x v="2"/>
    </i>
    <i t="default" r="2">
      <x v="4"/>
    </i>
    <i r="2">
      <x v="5"/>
      <x v="1"/>
    </i>
    <i r="3">
      <x v="2"/>
    </i>
    <i t="default" r="2">
      <x v="5"/>
    </i>
    <i r="2">
      <x v="7"/>
      <x v="1"/>
    </i>
    <i r="3">
      <x v="2"/>
    </i>
    <i t="default" r="2">
      <x v="7"/>
    </i>
    <i r="2">
      <x v="8"/>
      <x v="1"/>
    </i>
    <i r="3">
      <x v="2"/>
    </i>
    <i t="default" r="2">
      <x v="8"/>
    </i>
    <i t="default" r="1">
      <x/>
    </i>
    <i r="1">
      <x v="1"/>
      <x/>
      <x v="1"/>
    </i>
    <i r="3">
      <x v="2"/>
    </i>
    <i t="default" r="2">
      <x/>
    </i>
    <i r="2">
      <x v="2"/>
      <x v="1"/>
    </i>
    <i t="default" r="2">
      <x v="2"/>
    </i>
    <i r="2">
      <x v="3"/>
      <x v="1"/>
    </i>
    <i r="3">
      <x v="2"/>
    </i>
    <i t="default" r="2">
      <x v="3"/>
    </i>
    <i r="2">
      <x v="6"/>
      <x v="1"/>
    </i>
    <i t="default" r="2">
      <x v="6"/>
    </i>
    <i r="2">
      <x v="7"/>
      <x v="1"/>
    </i>
    <i r="3">
      <x v="2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t="default" r="2">
      <x v="9"/>
    </i>
    <i r="2">
      <x v="10"/>
      <x v="1"/>
    </i>
    <i r="3">
      <x v="2"/>
    </i>
    <i t="default" r="2">
      <x v="10"/>
    </i>
    <i r="2">
      <x v="11"/>
      <x v="1"/>
    </i>
    <i r="3">
      <x v="2"/>
    </i>
    <i t="default" r="2">
      <x v="11"/>
    </i>
    <i r="2">
      <x v="12"/>
      <x v="1"/>
    </i>
    <i r="3">
      <x v="2"/>
    </i>
    <i t="default" r="2">
      <x v="12"/>
    </i>
    <i r="2">
      <x v="13"/>
      <x v="1"/>
    </i>
    <i r="3">
      <x v="2"/>
    </i>
    <i t="default" r="2">
      <x v="13"/>
    </i>
    <i r="2">
      <x v="15"/>
      <x v="1"/>
    </i>
    <i r="3">
      <x v="2"/>
    </i>
    <i t="default" r="2">
      <x v="15"/>
    </i>
    <i t="default" r="1">
      <x/>
    </i>
    <i r="1">
      <x v="1"/>
      <x v="9"/>
      <x v="1"/>
    </i>
    <i r="3">
      <x v="2"/>
    </i>
    <i t="default" r="2">
      <x v="9"/>
    </i>
    <i r="2">
      <x v="10"/>
      <x v="1"/>
    </i>
    <i r="3">
      <x v="2"/>
    </i>
    <i t="default" r="2">
      <x v="10"/>
    </i>
    <i r="2">
      <x v="11"/>
      <x v="1"/>
    </i>
    <i r="3">
      <x v="2"/>
    </i>
    <i t="default" r="2">
      <x v="11"/>
    </i>
    <i r="2">
      <x v="12"/>
      <x v="1"/>
    </i>
    <i r="3">
      <x v="2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8" hier="-1"/>
  </pageFields>
  <dataFields count="13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5">
    <format dxfId="24">
      <pivotArea field="0" type="button" dataOnly="0" labelOnly="1" outline="0" axis="axisRow" fieldPosition="0"/>
    </format>
    <format dxfId="23">
      <pivotArea field="4" type="button" dataOnly="0" labelOnly="1" outline="0" axis="axisRow" fieldPosition="2"/>
    </format>
    <format dxfId="22">
      <pivotArea field="10" type="button" dataOnly="0" labelOnly="1" outline="0" axis="axisRow" fieldPosition="3"/>
    </format>
    <format dxfId="2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0">
      <pivotArea field="0" type="button" dataOnly="0" labelOnly="1" outline="0" axis="axisRow" fieldPosition="0"/>
    </format>
    <format dxfId="19">
      <pivotArea field="4" type="button" dataOnly="0" labelOnly="1" outline="0" axis="axisRow" fieldPosition="2"/>
    </format>
    <format dxfId="18">
      <pivotArea field="10" type="button" dataOnly="0" labelOnly="1" outline="0" axis="axisRow" fieldPosition="3"/>
    </format>
    <format dxfId="1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">
      <pivotArea field="0" type="button" dataOnly="0" labelOnly="1" outline="0" axis="axisRow" fieldPosition="0"/>
    </format>
    <format dxfId="15">
      <pivotArea field="4" type="button" dataOnly="0" labelOnly="1" outline="0" axis="axisRow" fieldPosition="2"/>
    </format>
    <format dxfId="14">
      <pivotArea field="10" type="button" dataOnly="0" labelOnly="1" outline="0" axis="axisRow" fieldPosition="3"/>
    </format>
    <format dxfId="1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11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1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9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36" firstHeaderRow="1" firstDataRow="2" firstDataCol="3" rowPageCount="3" colPageCount="1"/>
  <pivotFields count="44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7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8"/>
    <field x="2"/>
    <field x="10"/>
  </rowFields>
  <rowItems count="28">
    <i>
      <x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r="1">
      <x v="2"/>
      <x v="1"/>
    </i>
    <i t="default" r="1">
      <x v="2"/>
    </i>
    <i r="1">
      <x v="3"/>
      <x v="1"/>
    </i>
    <i r="2">
      <x v="2"/>
    </i>
    <i t="default" r="1">
      <x v="3"/>
    </i>
    <i r="1">
      <x v="4"/>
      <x v="1"/>
    </i>
    <i r="2">
      <x v="2"/>
    </i>
    <i t="default" r="1">
      <x v="4"/>
    </i>
    <i t="default">
      <x/>
    </i>
    <i>
      <x v="1"/>
      <x/>
      <x v="1"/>
    </i>
    <i r="2">
      <x v="2"/>
    </i>
    <i t="default" r="1">
      <x/>
    </i>
    <i r="1">
      <x v="1"/>
      <x v="1"/>
    </i>
    <i t="default" r="1">
      <x v="1"/>
    </i>
    <i r="1">
      <x v="2"/>
      <x v="1"/>
    </i>
    <i r="2">
      <x v="2"/>
    </i>
    <i t="default" r="1">
      <x v="2"/>
    </i>
    <i r="1">
      <x v="3"/>
      <x v="1"/>
    </i>
    <i r="2">
      <x v="2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8" hier="-1"/>
    <pageField fld="0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46">
      <pivotArea field="0" type="button" dataOnly="0" labelOnly="1" outline="0" axis="axisPage" fieldPosition="2"/>
    </format>
    <format dxfId="45">
      <pivotArea field="4" type="button" dataOnly="0" labelOnly="1" outline="0"/>
    </format>
    <format dxfId="44">
      <pivotArea field="10" type="button" dataOnly="0" labelOnly="1" outline="0" axis="axisRow" fieldPosition="2"/>
    </format>
    <format dxfId="4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2">
      <pivotArea field="0" type="button" dataOnly="0" labelOnly="1" outline="0" axis="axisPage" fieldPosition="2"/>
    </format>
    <format dxfId="41">
      <pivotArea field="4" type="button" dataOnly="0" labelOnly="1" outline="0"/>
    </format>
    <format dxfId="40">
      <pivotArea field="10" type="button" dataOnly="0" labelOnly="1" outline="0" axis="axisRow" fieldPosition="2"/>
    </format>
    <format dxfId="3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8">
      <pivotArea field="0" type="button" dataOnly="0" labelOnly="1" outline="0" axis="axisPage" fieldPosition="2"/>
    </format>
    <format dxfId="37">
      <pivotArea field="4" type="button" dataOnly="0" labelOnly="1" outline="0"/>
    </format>
    <format dxfId="36">
      <pivotArea field="10" type="button" dataOnly="0" labelOnly="1" outline="0" axis="axisRow" fieldPosition="2"/>
    </format>
    <format dxfId="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4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33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32">
      <pivotArea grandRow="1" outline="0" collapsedLevelsAreSubtotals="1" fieldPosition="0"/>
    </format>
    <format dxfId="31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30">
      <pivotArea dataOnly="0" labelOnly="1" outline="0" fieldPosition="0">
        <references count="1">
          <reference field="2" count="0" defaultSubtotal="1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27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26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25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O7:BE24" firstHeaderRow="1" firstDataRow="2" firstDataCol="2" rowPageCount="4" colPageCount="1"/>
  <pivotFields count="44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7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0"/>
  </rowFields>
  <rowItems count="16">
    <i>
      <x/>
      <x v="1"/>
    </i>
    <i r="1">
      <x v="2"/>
    </i>
    <i t="default">
      <x/>
    </i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4">
    <pageField fld="6" hier="-1"/>
    <pageField fld="38" hier="-1"/>
    <pageField fld="8" hier="-1"/>
    <pageField fld="0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68">
      <pivotArea field="0" type="button" dataOnly="0" labelOnly="1" outline="0" axis="axisPage" fieldPosition="3"/>
    </format>
    <format dxfId="67">
      <pivotArea field="4" type="button" dataOnly="0" labelOnly="1" outline="0"/>
    </format>
    <format dxfId="66">
      <pivotArea field="10" type="button" dataOnly="0" labelOnly="1" outline="0" axis="axisRow" fieldPosition="1"/>
    </format>
    <format dxfId="6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4">
      <pivotArea field="0" type="button" dataOnly="0" labelOnly="1" outline="0" axis="axisPage" fieldPosition="3"/>
    </format>
    <format dxfId="63">
      <pivotArea field="4" type="button" dataOnly="0" labelOnly="1" outline="0"/>
    </format>
    <format dxfId="62">
      <pivotArea field="10" type="button" dataOnly="0" labelOnly="1" outline="0" axis="axisRow" fieldPosition="1"/>
    </format>
    <format dxfId="6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0">
      <pivotArea field="0" type="button" dataOnly="0" labelOnly="1" outline="0" axis="axisPage" fieldPosition="3"/>
    </format>
    <format dxfId="59">
      <pivotArea field="4" type="button" dataOnly="0" labelOnly="1" outline="0"/>
    </format>
    <format dxfId="58">
      <pivotArea field="10" type="button" dataOnly="0" labelOnly="1" outline="0" axis="axisRow" fieldPosition="1"/>
    </format>
    <format dxfId="5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6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55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54">
      <pivotArea grandRow="1" outline="0" collapsedLevelsAreSubtotals="1" fieldPosition="0"/>
    </format>
    <format dxfId="53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52">
      <pivotArea dataOnly="0" labelOnly="1" outline="0" fieldPosition="0">
        <references count="1">
          <reference field="2" count="0" defaultSubtotal="1"/>
        </references>
      </pivotArea>
    </format>
    <format dxfId="51">
      <pivotArea dataOnly="0" labelOnly="1" grandRow="1" outline="0" fieldPosition="0"/>
    </format>
    <format dxfId="50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49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48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47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D7:DG44" firstHeaderRow="2" firstDataRow="2" firstDataCol="3" rowPageCount="4" colPageCount="1"/>
  <pivotFields count="44">
    <pivotField axis="axisPage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 defaultSubtotal="0"/>
    <pivotField axis="axisRow" compact="0" outline="0" multipleItemSelectionAllowed="1" showAll="0">
      <items count="4">
        <item x="0"/>
        <item x="1"/>
        <item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multipleItemSelectionAllowed="1" showAll="0">
      <items count="10">
        <item x="5"/>
        <item x="3"/>
        <item h="1" x="4"/>
        <item h="1" x="2"/>
        <item h="1" x="6"/>
        <item x="8"/>
        <item x="1"/>
        <item x="0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dataField="1"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4"/>
    <field x="8"/>
    <field x="10"/>
  </rowFields>
  <rowItems count="36">
    <i>
      <x v="9"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t="default">
      <x v="9"/>
    </i>
    <i>
      <x v="10"/>
      <x/>
      <x v="1"/>
    </i>
    <i r="2">
      <x v="2"/>
    </i>
    <i t="default" r="1">
      <x/>
    </i>
    <i r="1">
      <x v="1"/>
      <x v="1"/>
    </i>
    <i t="default" r="1">
      <x v="1"/>
    </i>
    <i t="default">
      <x v="10"/>
    </i>
    <i>
      <x v="11"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t="default">
      <x v="11"/>
    </i>
    <i>
      <x v="12"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t="default">
      <x v="12"/>
    </i>
    <i>
      <x v="13"/>
      <x/>
      <x v="1"/>
    </i>
    <i r="2">
      <x v="2"/>
    </i>
    <i t="default" r="1">
      <x/>
    </i>
    <i t="default">
      <x v="13"/>
    </i>
    <i>
      <x v="15"/>
      <x/>
      <x v="1"/>
    </i>
    <i r="2">
      <x v="2"/>
    </i>
    <i t="default" r="1">
      <x/>
    </i>
    <i t="default">
      <x v="15"/>
    </i>
    <i t="grand">
      <x/>
    </i>
  </rowItems>
  <colItems count="1">
    <i/>
  </colItems>
  <pageFields count="4">
    <pageField fld="6" hier="-1"/>
    <pageField fld="38" hier="-1"/>
    <pageField fld="0" hier="-1"/>
    <pageField fld="11" hier="-1"/>
  </pageFields>
  <dataFields count="1">
    <dataField name="runningproject" fld="36" baseField="0" baseItem="0"/>
  </dataFields>
  <formats count="11">
    <format dxfId="79">
      <pivotArea field="0" type="button" dataOnly="0" labelOnly="1" outline="0" axis="axisPage" fieldPosition="2"/>
    </format>
    <format dxfId="78">
      <pivotArea field="4" type="button" dataOnly="0" labelOnly="1" outline="0" axis="axisRow" fieldPosition="0"/>
    </format>
    <format dxfId="77">
      <pivotArea field="10" type="button" dataOnly="0" labelOnly="1" outline="0" axis="axisRow" fieldPosition="2"/>
    </format>
    <format dxfId="76">
      <pivotArea field="0" type="button" dataOnly="0" labelOnly="1" outline="0" axis="axisPage" fieldPosition="2"/>
    </format>
    <format dxfId="75">
      <pivotArea field="4" type="button" dataOnly="0" labelOnly="1" outline="0" axis="axisRow" fieldPosition="0"/>
    </format>
    <format dxfId="74">
      <pivotArea field="10" type="button" dataOnly="0" labelOnly="1" outline="0" axis="axisRow" fieldPosition="2"/>
    </format>
    <format dxfId="73">
      <pivotArea field="0" type="button" dataOnly="0" labelOnly="1" outline="0" axis="axisPage" fieldPosition="2"/>
    </format>
    <format dxfId="72">
      <pivotArea field="4" type="button" dataOnly="0" labelOnly="1" outline="0" axis="axisRow" fieldPosition="0"/>
    </format>
    <format dxfId="71">
      <pivotArea field="10" type="button" dataOnly="0" labelOnly="1" outline="0" axis="axisRow" fieldPosition="2"/>
    </format>
    <format dxfId="70">
      <pivotArea grandRow="1" outline="0" collapsedLevelsAreSubtotals="1" fieldPosition="0"/>
    </format>
    <format dxfId="69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22" firstHeaderRow="1" firstDataRow="2" firstDataCol="2" rowPageCount="3" colPageCount="1"/>
  <pivotFields count="44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7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axis="axisRow" compact="0" outline="0" showAll="0" defaultSubtotal="0">
      <items count="33">
        <item x="24"/>
        <item x="14"/>
        <item x="3"/>
        <item x="13"/>
        <item x="22"/>
        <item x="26"/>
        <item x="16"/>
        <item x="20"/>
        <item x="12"/>
        <item x="0"/>
        <item x="31"/>
        <item x="17"/>
        <item x="19"/>
        <item x="28"/>
        <item x="10"/>
        <item x="30"/>
        <item x="6"/>
        <item x="29"/>
        <item x="32"/>
        <item x="9"/>
        <item x="27"/>
        <item x="11"/>
        <item x="25"/>
        <item x="15"/>
        <item x="23"/>
        <item x="4"/>
        <item x="1"/>
        <item x="21"/>
        <item x="2"/>
        <item x="5"/>
        <item x="8"/>
        <item x="18"/>
        <item x="7"/>
      </items>
    </pivotField>
    <pivotField compact="0" outline="0" multipleItemSelectionAllowed="1" showAll="0"/>
    <pivotField compact="0" numFmtId="14" outline="0" showAl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">
        <item x="6"/>
        <item x="9"/>
        <item x="13"/>
        <item x="2"/>
        <item x="1"/>
        <item x="3"/>
        <item x="11"/>
        <item x="8"/>
        <item x="10"/>
        <item x="5"/>
        <item x="7"/>
        <item x="4"/>
        <item x="12"/>
        <item h="1"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5"/>
    <field x="7"/>
  </rowFields>
  <rowItems count="14">
    <i>
      <x/>
      <x v="21"/>
    </i>
    <i>
      <x v="1"/>
      <x v="31"/>
    </i>
    <i>
      <x v="2"/>
      <x v="10"/>
    </i>
    <i>
      <x v="3"/>
      <x v="29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0"/>
    </i>
    <i>
      <x v="12"/>
      <x v="2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8" hier="-1"/>
    <pageField fld="0" hier="-1"/>
  </pageFields>
  <dataFields count="10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Count of Delayed" fld="26" subtotal="count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  <dataField name="Count of RP4+RAMP UP Success" fld="30" subtotal="count" baseField="0" baseItem="0"/>
  </dataFields>
  <formats count="14">
    <format dxfId="93">
      <pivotArea field="0" type="button" dataOnly="0" labelOnly="1" outline="0" axis="axisPage" fieldPosition="2"/>
    </format>
    <format dxfId="92">
      <pivotArea field="4" type="button" dataOnly="0" labelOnly="1" outline="0"/>
    </format>
    <format dxfId="91">
      <pivotArea field="10" type="button" dataOnly="0" labelOnly="1" outline="0"/>
    </format>
    <format dxfId="90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9">
      <pivotArea field="0" type="button" dataOnly="0" labelOnly="1" outline="0" axis="axisPage" fieldPosition="2"/>
    </format>
    <format dxfId="88">
      <pivotArea field="4" type="button" dataOnly="0" labelOnly="1" outline="0"/>
    </format>
    <format dxfId="87">
      <pivotArea field="10" type="button" dataOnly="0" labelOnly="1" outline="0"/>
    </format>
    <format dxfId="86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5">
      <pivotArea field="0" type="button" dataOnly="0" labelOnly="1" outline="0" axis="axisPage" fieldPosition="2"/>
    </format>
    <format dxfId="84">
      <pivotArea field="4" type="button" dataOnly="0" labelOnly="1" outline="0"/>
    </format>
    <format dxfId="83">
      <pivotArea field="10" type="button" dataOnly="0" labelOnly="1" outline="0"/>
    </format>
    <format dxfId="82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81">
      <pivotArea grandRow="1" outline="0" collapsedLevelsAreSubtotals="1" fieldPosition="0"/>
    </format>
    <format dxfId="8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T7:AK54" firstHeaderRow="1" firstDataRow="2" firstDataCol="3" rowPageCount="3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0"/>
  </rowFields>
  <rowItems count="46">
    <i>
      <x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r="1">
      <x v="2"/>
      <x v="1"/>
    </i>
    <i t="default" r="1">
      <x v="2"/>
    </i>
    <i r="1">
      <x v="3"/>
      <x v="1"/>
    </i>
    <i r="2">
      <x v="2"/>
    </i>
    <i t="default" r="1">
      <x v="3"/>
    </i>
    <i r="1">
      <x v="4"/>
      <x v="1"/>
    </i>
    <i r="2">
      <x v="2"/>
    </i>
    <i t="default" r="1">
      <x v="4"/>
    </i>
    <i r="1">
      <x v="5"/>
      <x v="1"/>
    </i>
    <i r="2">
      <x v="2"/>
    </i>
    <i t="default" r="1">
      <x v="5"/>
    </i>
    <i r="1">
      <x v="6"/>
      <x v="1"/>
    </i>
    <i t="default" r="1">
      <x v="6"/>
    </i>
    <i r="1">
      <x v="7"/>
      <x v="1"/>
    </i>
    <i r="2">
      <x v="2"/>
    </i>
    <i t="default" r="1">
      <x v="7"/>
    </i>
    <i r="1">
      <x v="8"/>
      <x v="1"/>
    </i>
    <i r="2">
      <x v="2"/>
    </i>
    <i t="default" r="1">
      <x v="8"/>
    </i>
    <i t="default">
      <x/>
    </i>
    <i>
      <x v="1"/>
      <x v="9"/>
      <x v="1"/>
    </i>
    <i r="2">
      <x v="2"/>
    </i>
    <i t="default" r="1">
      <x v="9"/>
    </i>
    <i r="1">
      <x v="10"/>
      <x v="1"/>
    </i>
    <i r="2">
      <x v="2"/>
    </i>
    <i t="default" r="1">
      <x v="10"/>
    </i>
    <i r="1">
      <x v="11"/>
      <x v="1"/>
    </i>
    <i r="2">
      <x v="2"/>
    </i>
    <i t="default" r="1">
      <x v="11"/>
    </i>
    <i r="1">
      <x v="12"/>
      <x v="1"/>
    </i>
    <i r="2">
      <x v="2"/>
    </i>
    <i t="default" r="1">
      <x v="12"/>
    </i>
    <i r="1">
      <x v="13"/>
      <x v="1"/>
    </i>
    <i r="2">
      <x v="2"/>
    </i>
    <i t="default" r="1">
      <x v="13"/>
    </i>
    <i r="1">
      <x v="15"/>
      <x v="1"/>
    </i>
    <i r="2">
      <x v="2"/>
    </i>
    <i t="default" r="1">
      <x v="15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8" hier="-1"/>
    <pageField fld="8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4">
    <format dxfId="117">
      <pivotArea field="0" type="button" dataOnly="0" labelOnly="1" outline="0" axis="axisRow" fieldPosition="0"/>
    </format>
    <format dxfId="116">
      <pivotArea field="4" type="button" dataOnly="0" labelOnly="1" outline="0" axis="axisRow" fieldPosition="1"/>
    </format>
    <format dxfId="115">
      <pivotArea field="10" type="button" dataOnly="0" labelOnly="1" outline="0" axis="axisRow" fieldPosition="2"/>
    </format>
    <format dxfId="11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3">
      <pivotArea field="0" type="button" dataOnly="0" labelOnly="1" outline="0" axis="axisRow" fieldPosition="0"/>
    </format>
    <format dxfId="112">
      <pivotArea field="4" type="button" dataOnly="0" labelOnly="1" outline="0" axis="axisRow" fieldPosition="1"/>
    </format>
    <format dxfId="111">
      <pivotArea field="10" type="button" dataOnly="0" labelOnly="1" outline="0" axis="axisRow" fieldPosition="2"/>
    </format>
    <format dxfId="11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9">
      <pivotArea field="0" type="button" dataOnly="0" labelOnly="1" outline="0" axis="axisRow" fieldPosition="0"/>
    </format>
    <format dxfId="108">
      <pivotArea field="4" type="button" dataOnly="0" labelOnly="1" outline="0" axis="axisRow" fieldPosition="1"/>
    </format>
    <format dxfId="107">
      <pivotArea field="10" type="button" dataOnly="0" labelOnly="1" outline="0" axis="axisRow" fieldPosition="2"/>
    </format>
    <format dxfId="10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5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04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03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0" count="2">
            <x v="1"/>
            <x v="2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0" count="1">
            <x v="1"/>
          </reference>
        </references>
      </pivotArea>
    </format>
    <format dxfId="9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0" count="2">
            <x v="1"/>
            <x v="2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0" count="2">
            <x v="1"/>
            <x v="2"/>
          </reference>
        </references>
      </pivotArea>
    </format>
    <format dxfId="9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0" count="2">
            <x v="1"/>
            <x v="2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0" count="1">
            <x v="1"/>
          </reference>
        </references>
      </pivotArea>
    </format>
    <format dxfId="9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41" firstHeaderRow="1" firstDataRow="2" firstDataCol="3" rowPageCount="3" colPageCount="1"/>
  <pivotFields count="44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7">
        <item x="3"/>
        <item x="9"/>
        <item x="7"/>
        <item x="6"/>
        <item x="1"/>
        <item x="4"/>
        <item x="5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axis="axisRow" compact="0" outline="0" showAll="0">
      <items count="34">
        <item x="24"/>
        <item x="14"/>
        <item x="3"/>
        <item x="13"/>
        <item x="22"/>
        <item x="26"/>
        <item x="16"/>
        <item x="20"/>
        <item x="12"/>
        <item x="0"/>
        <item x="31"/>
        <item x="17"/>
        <item x="19"/>
        <item x="28"/>
        <item x="10"/>
        <item x="30"/>
        <item x="6"/>
        <item x="29"/>
        <item x="32"/>
        <item x="9"/>
        <item x="27"/>
        <item x="11"/>
        <item x="25"/>
        <item x="15"/>
        <item x="23"/>
        <item x="4"/>
        <item x="1"/>
        <item x="21"/>
        <item x="2"/>
        <item x="5"/>
        <item x="8"/>
        <item x="18"/>
        <item x="7"/>
        <item t="default"/>
      </items>
    </pivotField>
    <pivotField compact="0" outline="0" multipleItemSelectionAllowed="1" showAll="0"/>
    <pivotField compact="0" numFmtId="14" outline="0" showAl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">
        <item x="6"/>
        <item x="9"/>
        <item x="13"/>
        <item x="2"/>
        <item x="1"/>
        <item x="3"/>
        <item x="11"/>
        <item x="8"/>
        <item x="10"/>
        <item x="5"/>
        <item x="7"/>
        <item x="4"/>
        <item x="12"/>
        <item h="1"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5"/>
    <field x="7"/>
    <field x="10"/>
  </rowFields>
  <rowItems count="33">
    <i>
      <x/>
      <x v="21"/>
      <x v="1"/>
    </i>
    <i t="default" r="1">
      <x v="21"/>
    </i>
    <i>
      <x v="1"/>
      <x v="31"/>
      <x v="1"/>
    </i>
    <i t="default" r="1">
      <x v="31"/>
    </i>
    <i>
      <x v="2"/>
      <x v="10"/>
      <x v="1"/>
    </i>
    <i r="2">
      <x v="2"/>
    </i>
    <i t="default" r="1">
      <x v="10"/>
    </i>
    <i>
      <x v="3"/>
      <x v="29"/>
      <x v="2"/>
    </i>
    <i t="default" r="1">
      <x v="29"/>
    </i>
    <i>
      <x v="4"/>
      <x v="2"/>
      <x v="1"/>
    </i>
    <i t="default" r="1">
      <x v="2"/>
    </i>
    <i>
      <x v="5"/>
      <x v="16"/>
      <x v="1"/>
    </i>
    <i r="2">
      <x v="2"/>
    </i>
    <i t="default" r="1">
      <x v="16"/>
    </i>
    <i>
      <x v="6"/>
      <x v="7"/>
      <x v="1"/>
    </i>
    <i r="2">
      <x v="2"/>
    </i>
    <i t="default" r="1">
      <x v="7"/>
    </i>
    <i>
      <x v="7"/>
      <x v="11"/>
      <x v="1"/>
    </i>
    <i t="default" r="1">
      <x v="11"/>
    </i>
    <i>
      <x v="8"/>
      <x v="12"/>
      <x v="1"/>
    </i>
    <i r="2">
      <x v="2"/>
    </i>
    <i t="default" r="1">
      <x v="12"/>
    </i>
    <i>
      <x v="9"/>
      <x v="14"/>
      <x v="1"/>
    </i>
    <i t="default" r="1">
      <x v="14"/>
    </i>
    <i>
      <x v="10"/>
      <x v="8"/>
      <x v="1"/>
    </i>
    <i t="default" r="1">
      <x v="8"/>
    </i>
    <i>
      <x v="11"/>
      <x v="30"/>
      <x v="1"/>
    </i>
    <i r="2">
      <x v="2"/>
    </i>
    <i t="default" r="1">
      <x v="30"/>
    </i>
    <i>
      <x v="12"/>
      <x v="24"/>
      <x v="1"/>
    </i>
    <i r="2">
      <x v="2"/>
    </i>
    <i t="default" r="1">
      <x v="2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8" hier="-1"/>
    <pageField fld="0" hier="-1"/>
  </pageFields>
  <dataFields count="8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</dataFields>
  <formats count="14">
    <format dxfId="131">
      <pivotArea field="0" type="button" dataOnly="0" labelOnly="1" outline="0" axis="axisPage" fieldPosition="2"/>
    </format>
    <format dxfId="130">
      <pivotArea field="4" type="button" dataOnly="0" labelOnly="1" outline="0"/>
    </format>
    <format dxfId="129">
      <pivotArea field="10" type="button" dataOnly="0" labelOnly="1" outline="0" axis="axisRow" fieldPosition="2"/>
    </format>
    <format dxfId="128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7">
      <pivotArea field="0" type="button" dataOnly="0" labelOnly="1" outline="0" axis="axisPage" fieldPosition="2"/>
    </format>
    <format dxfId="126">
      <pivotArea field="4" type="button" dataOnly="0" labelOnly="1" outline="0"/>
    </format>
    <format dxfId="125">
      <pivotArea field="10" type="button" dataOnly="0" labelOnly="1" outline="0" axis="axisRow" fieldPosition="2"/>
    </format>
    <format dxfId="124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3">
      <pivotArea field="0" type="button" dataOnly="0" labelOnly="1" outline="0" axis="axisPage" fieldPosition="2"/>
    </format>
    <format dxfId="122">
      <pivotArea field="4" type="button" dataOnly="0" labelOnly="1" outline="0"/>
    </format>
    <format dxfId="121">
      <pivotArea field="10" type="button" dataOnly="0" labelOnly="1" outline="0" axis="axisRow" fieldPosition="2"/>
    </format>
    <format dxfId="120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19">
      <pivotArea grandRow="1" outline="0" collapsedLevelsAreSubtotals="1" fieldPosition="0"/>
    </format>
    <format dxfId="118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D195"/>
  <sheetViews>
    <sheetView tabSelected="1" zoomScale="80" zoomScaleNormal="80" workbookViewId="0">
      <selection activeCell="M13" sqref="M13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49</v>
      </c>
      <c r="B1" s="6"/>
      <c r="C1" s="7"/>
      <c r="D1" s="769" t="str">
        <f>CONCATENATE("Signed RP Check List by SBU in ",B3," (YTD)")</f>
        <v>Signed RP Check List by SBU in 2015 (YTD)</v>
      </c>
      <c r="E1" s="770"/>
      <c r="F1" s="770"/>
      <c r="G1" s="770"/>
      <c r="H1" s="770"/>
      <c r="I1" s="770"/>
      <c r="J1" s="770"/>
      <c r="K1" s="770"/>
      <c r="L1" s="770"/>
      <c r="M1" s="770"/>
      <c r="N1" s="770"/>
      <c r="O1" s="770"/>
      <c r="P1" s="770"/>
      <c r="Q1" s="770"/>
      <c r="R1" s="770"/>
      <c r="S1" s="770"/>
      <c r="T1" s="770"/>
      <c r="U1" s="770"/>
      <c r="V1" s="770"/>
      <c r="W1" s="771"/>
    </row>
    <row r="2" spans="1:27" ht="60.75" customHeight="1" thickBot="1">
      <c r="A2" s="8" t="s">
        <v>50</v>
      </c>
      <c r="B2" s="9" t="s">
        <v>51</v>
      </c>
      <c r="C2" s="10"/>
      <c r="D2" s="792" t="s">
        <v>6</v>
      </c>
      <c r="E2" s="793"/>
      <c r="F2" s="792" t="s">
        <v>7</v>
      </c>
      <c r="G2" s="794"/>
      <c r="H2" s="795" t="s">
        <v>52</v>
      </c>
      <c r="I2" s="794"/>
      <c r="J2" s="795" t="s">
        <v>10</v>
      </c>
      <c r="K2" s="793"/>
      <c r="L2" s="792" t="s">
        <v>11</v>
      </c>
      <c r="M2" s="793"/>
      <c r="N2" s="786" t="s">
        <v>53</v>
      </c>
      <c r="O2" s="788" t="s">
        <v>54</v>
      </c>
      <c r="P2" s="790" t="s">
        <v>55</v>
      </c>
      <c r="Q2" s="788" t="s">
        <v>56</v>
      </c>
      <c r="R2" s="790" t="s">
        <v>57</v>
      </c>
      <c r="S2" s="788" t="s">
        <v>58</v>
      </c>
      <c r="T2" s="790" t="s">
        <v>59</v>
      </c>
      <c r="U2" s="788" t="s">
        <v>60</v>
      </c>
      <c r="V2" s="790" t="s">
        <v>61</v>
      </c>
      <c r="W2" s="788" t="s">
        <v>62</v>
      </c>
    </row>
    <row r="3" spans="1:27" ht="55.5" customHeight="1" thickBot="1">
      <c r="A3" s="701" t="s">
        <v>226</v>
      </c>
      <c r="B3" s="702">
        <v>2015</v>
      </c>
      <c r="C3" s="11"/>
      <c r="D3" s="12" t="s">
        <v>63</v>
      </c>
      <c r="E3" s="13" t="s">
        <v>64</v>
      </c>
      <c r="F3" s="14" t="s">
        <v>63</v>
      </c>
      <c r="G3" s="15" t="s">
        <v>64</v>
      </c>
      <c r="H3" s="16" t="s">
        <v>63</v>
      </c>
      <c r="I3" s="123" t="s">
        <v>64</v>
      </c>
      <c r="J3" s="18" t="s">
        <v>63</v>
      </c>
      <c r="K3" s="18" t="s">
        <v>64</v>
      </c>
      <c r="L3" s="22" t="s">
        <v>63</v>
      </c>
      <c r="M3" s="17" t="s">
        <v>64</v>
      </c>
      <c r="N3" s="787"/>
      <c r="O3" s="789"/>
      <c r="P3" s="791"/>
      <c r="Q3" s="789"/>
      <c r="R3" s="791"/>
      <c r="S3" s="789"/>
      <c r="T3" s="791"/>
      <c r="U3" s="789"/>
      <c r="V3" s="791"/>
      <c r="W3" s="789"/>
      <c r="Z3" s="122" t="s">
        <v>112</v>
      </c>
      <c r="AA3" s="122">
        <v>1</v>
      </c>
    </row>
    <row r="4" spans="1:27" ht="15.75" thickBot="1">
      <c r="A4" s="24"/>
      <c r="B4" s="772" t="s">
        <v>65</v>
      </c>
      <c r="C4" s="4" t="s">
        <v>66</v>
      </c>
      <c r="D4" s="28">
        <f>IFERROR(GETPIVOTDATA("Project Phase",'YTD SBU'!$A$7,"Group",1,"SBU","EC","Project Type","OEM/ODM","postingdate",VLOOKUP($B$2,myMonth,2,FALSE),"Project Phase","1. RP2"),0)</f>
        <v>0</v>
      </c>
      <c r="E4" s="28">
        <f>IFERROR(GETPIVOTDATA("Project Phase",'YTD SBU'!$A$7,"Group",1,"SBU","EC","Project Type","OEM/ODM","Project Phase","1. RP2"),0)</f>
        <v>0</v>
      </c>
      <c r="F4" s="40">
        <f>IFERROR(GETPIVOTDATA("Project Phase",'YTD SBU'!$A$7,"Group",1,"SBU","EC","Project Type","OEM/ODM","postingdate",VLOOKUP($B$2,myMonth,2,FALSE),"Project Phase","2. RP4"),0)</f>
        <v>0</v>
      </c>
      <c r="G4" s="29">
        <f>IFERROR(GETPIVOTDATA("Project Phase",'YTD SBU'!$A$7,"Group",1,"SBU","EC","Project Type","OEM/ODM","Project Phase","2. RP4"),0)</f>
        <v>0</v>
      </c>
      <c r="H4" s="30">
        <f>IFERROR(GETPIVOTDATA("Project Phase",'YTD SBU'!$A$7,"Group",1,"SBU","EC","Project Type","OEM/ODM","postingdate",VLOOKUP($B$2,myMonth,2,FALSE),"Project Phase","3. PSA/RRA"),0)</f>
        <v>0</v>
      </c>
      <c r="I4" s="124">
        <f>IFERROR(GETPIVOTDATA("Project Phase",'YTD SBU'!$A$7,"Group",1,"SBU","EC","Project Type","OEM/ODM","Project Phase","3. PSA/RRA"),0)</f>
        <v>0</v>
      </c>
      <c r="J4" s="31">
        <f>IFERROR(GETPIVOTDATA("Project Phase",'YTD SBU'!$A$7,"Group",1,"SBU","EC","Project Type","OEM/ODM","postingdate",VLOOKUP($B$2,myMonth,2,FALSE),"Project Phase","4. RAMP UP"),0)</f>
        <v>0</v>
      </c>
      <c r="K4" s="31">
        <f>IFERROR(GETPIVOTDATA("Project Phase",'YTD SBU'!$A$7,"Group",1,"SBU","EC","Project Type","OEM/ODM","Project Phase","4. RAMP UP"),0)</f>
        <v>1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0</v>
      </c>
      <c r="N4" s="33">
        <f>IFERROR(GETPIVOTDATA(" PSA Failed",Other!$A$7,"Group",1,"SBU","EC","Project Type","OEM/ODM"),0)</f>
        <v>0</v>
      </c>
      <c r="O4" s="133" t="str">
        <f>IF(IFERROR(GETPIVOTDATA(" %PSARRA",Other!$A$7,"Group",1,"SBU","EC","Project Type","OEM/ODM"),0)=0,"NIL",IFERROR(GETPIVOTDATA(" %PSARRA",Other!$A$7,"Group",1,"SBU","EC","Project Type","OEM/ODM"),0))</f>
        <v>NIL</v>
      </c>
      <c r="P4" s="33">
        <f>IFERROR(GETPIVOTDATA(" Delayed",Other!$A$7,"Group",1,"SBU","EC","Project Type","OEM/ODM"),0)</f>
        <v>0</v>
      </c>
      <c r="Q4" s="35" t="str">
        <f>IF(IFERROR(GETPIVOTDATA(" %RP4 On Time",Other!$A$7,"Group",1,"SBU","EC","Project Type","OEM/ODM"),0)=0,"NIL",IFERROR(GETPIVOTDATA(" %RP4 On Time",Other!$A$7,"Group",1,"SBU","EC","Project Type","OEM/ODM"),0))</f>
        <v>NIL</v>
      </c>
      <c r="R4" s="33">
        <f>IFERROR(GETPIVOTDATA(" RAMP UP Failed",Other!$A$7,"Group",1,"SBU","EC","Project Type","OEM/ODM"),0)</f>
        <v>0</v>
      </c>
      <c r="S4" s="34">
        <f>IF(IFERROR(GETPIVOTDATA(" %RAMP UP",Other!$A$7,"Group",1,"SBU","EC","Project Type","OEM/ODM"),0)=0,"NIL",IFERROR(GETPIVOTDATA(" %RAMP UP",Other!$A$7,"Group",1,"SBU","EC","Project Type","OEM/ODM"),0))</f>
        <v>1</v>
      </c>
      <c r="T4" s="37">
        <f>IFERROR(GETPIVOTDATA(" Price Variance",Other!$A$7,"Group",1,"SBU","EC","Project Type","OEM/ODM"),0)</f>
        <v>0</v>
      </c>
      <c r="U4" s="38" t="str">
        <f>IF(IFERROR(GETPIVOTDATA(" %Price Variance",Other!$A$7,"Group",1,"SBU","EC","Project Type","OEM/ODM"),0)=0,"NIL",IFERROR(GETPIVOTDATA(" %Price Variance",Other!$A$7,"Group",1,"SBU","EC","Project Type","OEM/ODM"),0))</f>
        <v>NIL</v>
      </c>
      <c r="V4" s="36">
        <f>IFERROR(GETPIVOTDATA(" RP5 Closure Failed",Other!$A$7,"Group",1,"SBU","EC","Project Type","OEM/ODM"),0)</f>
        <v>0</v>
      </c>
      <c r="W4" s="38" t="str">
        <f>IF(IFERROR(GETPIVOTDATA(" %RP5 Closure",Other!$A$7,"Group",1,"SBU","EC","Project Type","OEM/ODM"),0)=0,"NIL",IFERROR(GETPIVOTDATA(" %RP5 Closure",Other!$A$7,"Group",1,"SBU","EC","Project Type","OEM/ODM"),0))</f>
        <v>NIL</v>
      </c>
      <c r="Z4" s="122" t="s">
        <v>51</v>
      </c>
      <c r="AA4" s="122">
        <v>2</v>
      </c>
    </row>
    <row r="5" spans="1:27" ht="15.75" thickBot="1">
      <c r="A5" s="24"/>
      <c r="B5" s="773"/>
      <c r="C5" s="3" t="s">
        <v>67</v>
      </c>
      <c r="D5" s="39">
        <f>IFERROR(GETPIVOTDATA("Project Phase",'YTD SBU'!$A$7,"Group",1,"SBU","FP","Project Type","OEM/ODM","postingdate",VLOOKUP($B$2,myMonth,2,FALSE),"Project Phase","1. RP2"),0)</f>
        <v>0</v>
      </c>
      <c r="E5" s="39">
        <f>IFERROR(GETPIVOTDATA("Project Phase",'YTD SBU'!$A$7,"Group",1,"SBU","FP","Project Type","OEM/ODM","Project Phase","1. RP2"),0)</f>
        <v>1</v>
      </c>
      <c r="F5" s="40">
        <f>IFERROR(GETPIVOTDATA("Project Phase",'YTD SBU'!$A$7,"Group",1,"SBU","FP","Project Type","OEM/ODM","postingdate",VLOOKUP($B$2,myMonth,2,FALSE),"Project Phase","2. RP4"),0)</f>
        <v>0</v>
      </c>
      <c r="G5" s="41">
        <f>IFERROR(GETPIVOTDATA("Project Phase",'YTD SBU'!$A$7,"Group",1,"SBU","FP","Project Type","OEM/ODM","Project Phase","2. RP4"),0)</f>
        <v>1</v>
      </c>
      <c r="H5" s="42">
        <f>IFERROR(GETPIVOTDATA("Project Phase",'YTD SBU'!$A$7,"Group",1,"SBU","FP","Project Type","OEM/ODM","postingdate",VLOOKUP($B$2,myMonth,2,FALSE),"Project Phase","3. PSA/RRA"),0)</f>
        <v>0</v>
      </c>
      <c r="I5" s="125">
        <f>IFERROR(GETPIVOTDATA("Project Phase",'YTD SBU'!$A$7,"Group",1,"SBU","FP","Project Type","OEM/ODM","Project Phase","3. PSA/RRA"),0)</f>
        <v>2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0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0</v>
      </c>
      <c r="N5" s="45">
        <f>IFERROR(GETPIVOTDATA(" PSA Failed",Other!$A$7,"Group",1,"SBU","FP","Project Type","OEM/ODM"),0)</f>
        <v>0</v>
      </c>
      <c r="O5" s="47">
        <f>IF(IFERROR(GETPIVOTDATA(" %PSARRA",Other!$A$7,"Group",1,"SBU","FP","Project Type","OEM/ODM"),0)=0,"NIL",IFERROR(GETPIVOTDATA(" %PSARRA",Other!$A$7,"Group",1,"SBU","FP","Project Type","OEM/ODM"),0))</f>
        <v>1</v>
      </c>
      <c r="P5" s="45">
        <f>IFERROR(GETPIVOTDATA(" Delayed",Other!$A$7,"Group",1,"SBU","FP","Project Type","OEM/ODM"),0)</f>
        <v>0</v>
      </c>
      <c r="Q5" s="47">
        <f>IF(IFERROR(GETPIVOTDATA(" %RP4 On Time",Other!$A$7,"Group",1,"SBU","FP","Project Type","OEM/ODM"),0)=0,"NIL",IFERROR(GETPIVOTDATA(" %RP4 On Time",Other!$A$7,"Group",1,"SBU","FP","Project Type","OEM/ODM"),0))</f>
        <v>1</v>
      </c>
      <c r="R5" s="45">
        <f>IFERROR(GETPIVOTDATA(" RAMP UP Failed",Other!$A$7,"Group",1,"SBU","FP","Project Type","OEM/ODM"),0)</f>
        <v>0</v>
      </c>
      <c r="S5" s="46" t="str">
        <f>IF(IFERROR(GETPIVOTDATA(" %RAMP UP",Other!$A$7,"Group",1,"SBU","FP","Project Type","OEM/ODM"),0)=0,"NIL",IFERROR(GETPIVOTDATA(" %RAMP UP",Other!$A$7,"Group",1,"SBU","FP","Project Type","OEM/ODM"),0))</f>
        <v>NIL</v>
      </c>
      <c r="T5" s="49">
        <f>IFERROR(GETPIVOTDATA(" Price Variance",Other!$A$7,"Group",1,"SBU","FP","Project Type","OEM/ODM"),0)</f>
        <v>0</v>
      </c>
      <c r="U5" s="50">
        <f>IF(IFERROR(GETPIVOTDATA(" %Price Variance",Other!$A$7,"Group",1,"SBU","FP","Project Type","OEM/ODM"),0)=0,"NIL",IFERROR(GETPIVOTDATA(" %Price Variance",Other!$A$7,"Group",1,"SBU","FP","Project Type","OEM/ODM"),0))</f>
        <v>1</v>
      </c>
      <c r="V5" s="48">
        <f>IFERROR(GETPIVOTDATA(" RP5 Closure Failed",Other!$A$7,"Group",1,"SBU","FP","Project Type","OEM/ODM"),0)</f>
        <v>0</v>
      </c>
      <c r="W5" s="50" t="str">
        <f>IF(IFERROR(GETPIVOTDATA(" %RP5 Closure",Other!$A$7,"Group",1,"SBU","FP","Project Type","OEM/ODM"),0)=0,"NIL",IFERROR(GETPIVOTDATA(" %RP5 Closure",Other!$A$7,"Group",1,"SBU","FP","Project Type","OEM/ODM"),0))</f>
        <v>NIL</v>
      </c>
      <c r="Z5" s="122" t="s">
        <v>113</v>
      </c>
      <c r="AA5" s="122">
        <v>3</v>
      </c>
    </row>
    <row r="6" spans="1:27" ht="15.75" thickBot="1">
      <c r="A6" s="24"/>
      <c r="B6" s="773"/>
      <c r="C6" s="3" t="s">
        <v>68</v>
      </c>
      <c r="D6" s="39">
        <f>IFERROR(GETPIVOTDATA("Project Phase",'YTD SBU'!$A$7,"Group",1,"SBU","BnB","Project Type","OEM/ODM","postingdate",VLOOKUP($B$2,myMonth,2,FALSE),"Project Phase","1. RP2"),0)</f>
        <v>1</v>
      </c>
      <c r="E6" s="39">
        <f>IFERROR(GETPIVOTDATA("Project Phase",'YTD SBU'!$A$7,"Group",1,"SBU","BnB","Project Type","OEM/ODM","Project Phase","1. RP2"),0)</f>
        <v>1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0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0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0</v>
      </c>
      <c r="L6" s="44">
        <f>IFERROR(GETPIVOTDATA("Project Phase",'YTD SBU'!$A$7,"Group",1,"SBU","BnB","Project Type","OEM/ODM","postingdate",VLOOKUP($B$2,myMonth,2,FALSE),"Project Phase","5. RP5 Closure"),0)</f>
        <v>1</v>
      </c>
      <c r="M6" s="44">
        <f>IFERROR(GETPIVOTDATA("Project Phase",'YTD SBU'!$A$7,"Group",1,"SBU","BnB","Project Type","OEM/ODM","Project Phase","5. RP5 Closure"),0)</f>
        <v>1</v>
      </c>
      <c r="N6" s="45">
        <f>IFERROR(GETPIVOTDATA(" PSA Failed",Other!$A$7,"Group",1,"SBU","BnB","Project Type","OEM/ODM"),0)</f>
        <v>0</v>
      </c>
      <c r="O6" s="47" t="str">
        <f>IF(IFERROR(GETPIVOTDATA(" %PSARRA",Other!$A$7,"Group",1,"SBU","BnB","Project Type","OEM/ODM"),0)=0,"NIL",IFERROR(GETPIVOTDATA(" %PSARRA",Other!$A$7,"Group",1,"SBU","BnB","Project Type","OEM/ODM"),0))</f>
        <v>NIL</v>
      </c>
      <c r="P6" s="45">
        <f>IFERROR(GETPIVOTDATA(" Delayed",Other!$A$7,"Group",1,"SBU","BnB","Project Type","OEM/ODM"),0)</f>
        <v>0</v>
      </c>
      <c r="Q6" s="47" t="str">
        <f>IF(IFERROR(GETPIVOTDATA(" %RP4 On Time",Other!$A$7,"Group",1,"SBU","BnB","Project Type","OEM/ODM"),0)=0,"NIL",IFERROR(GETPIVOTDATA(" %RP4 On Time",Other!$A$7,"Group",1,"SBU","BnB","Project Type","OEM/ODM"),0))</f>
        <v>NIL</v>
      </c>
      <c r="R6" s="45">
        <f>IFERROR(GETPIVOTDATA(" RAMP UP Failed",Other!$A$7,"Group",1,"SBU","BnB","Project Type","OEM/ODM"),0)</f>
        <v>0</v>
      </c>
      <c r="S6" s="46" t="str">
        <f>IF(IFERROR(GETPIVOTDATA(" %RAMP UP",Other!$A$7,"Group",1,"SBU","BnB","Project Type","OEM/ODM"),0)=0,"NIL",IFERROR(GETPIVOTDATA(" %RAMP UP",Other!$A$7,"Group",1,"SBU","BnB","Project Type","OEM/ODM"),0))</f>
        <v>NIL</v>
      </c>
      <c r="T6" s="49">
        <f>IFERROR(GETPIVOTDATA(" Price Variance",Other!$A$7,"Group",1,"SBU","BnB","Project Type","OEM/ODM"),0)</f>
        <v>0</v>
      </c>
      <c r="U6" s="50" t="str">
        <f>IF(IFERROR(GETPIVOTDATA(" %Price Variance",Other!$A$7,"Group",1,"SBU","BnB","Project Type","OEM/ODM"),0)=0,"NIL",IFERROR(GETPIVOTDATA(" %Price Variance",Other!$A$7,"Group",1,"SBU","BnB","Project Type","OEM/ODM"),0))</f>
        <v>NIL</v>
      </c>
      <c r="V6" s="48">
        <f>IFERROR(GETPIVOTDATA(" RP5 Closure Failed",Other!$A$7,"Group",1,"SBU","BnB","Project Type","OEM/ODM"),0)</f>
        <v>0</v>
      </c>
      <c r="W6" s="50">
        <f>IF(IFERROR(GETPIVOTDATA(" %RP5 Closure",Other!$A$7,"Group",1,"SBU","BnB","Project Type","OEM/ODM"),0)=0,"NIL",IFERROR(GETPIVOTDATA(" %RP5 Closure",Other!$A$7,"Group",1,"SBU","BnB","Project Type","OEM/ODM"),0))</f>
        <v>1</v>
      </c>
      <c r="Z6" s="122" t="s">
        <v>114</v>
      </c>
      <c r="AA6" s="122">
        <v>4</v>
      </c>
    </row>
    <row r="7" spans="1:27" ht="15.75" thickBot="1">
      <c r="A7" s="24"/>
      <c r="B7" s="773"/>
      <c r="C7" s="3" t="s">
        <v>69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4</v>
      </c>
      <c r="F7" s="40">
        <f>IFERROR(GETPIVOTDATA("Project Phase",'YTD SBU'!$A$7,"Group",1,"SBU","PC","Project Type","OEM/ODM","postingdate",VLOOKUP($B$2,myMonth,2,FALSE),"Project Phase","2. RP4"),0)</f>
        <v>2</v>
      </c>
      <c r="G7" s="41">
        <f>IFERROR(GETPIVOTDATA("Project Phase",'YTD SBU'!$A$7,"Group",1,"SBU","PC","Project Type","OEM/ODM","Project Phase","2. RP4"),0)</f>
        <v>2</v>
      </c>
      <c r="H7" s="42">
        <f>IFERROR(GETPIVOTDATA("Project Phase",'YTD SBU'!$A$7,"Group",1,"SBU","PC","Project Type","OEM/ODM","postingdate",VLOOKUP($B$2,myMonth,2,FALSE),"Project Phase","3. PSA/RRA"),0)</f>
        <v>0</v>
      </c>
      <c r="I7" s="125">
        <f>IFERROR(GETPIVOTDATA("Project Phase",'YTD SBU'!$A$7,"Group",1,"SBU","PC","Project Type","OEM/ODM","Project Phase","3. PSA/RRA"),0)</f>
        <v>3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1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0</v>
      </c>
      <c r="N7" s="45">
        <f>IFERROR(GETPIVOTDATA(" PSA Failed",Other!$A$7,"Group",1,"SBU","PC","Project Type","OEM/ODM"),0)</f>
        <v>0</v>
      </c>
      <c r="O7" s="47">
        <f>IF(IFERROR(GETPIVOTDATA(" %PSARRA",Other!$A$7,"Group",1,"SBU","PC","Project Type","OEM/ODM"),0)=0,"NIL",IFERROR(GETPIVOTDATA(" %PSARRA",Other!$A$7,"Group",1,"SBU","PC","Project Type","OEM/ODM"),0))</f>
        <v>1</v>
      </c>
      <c r="P7" s="45">
        <f>IFERROR(GETPIVOTDATA(" Delayed",Other!$A$7,"Group",1,"SBU","PC","Project Type","OEM/ODM"),0)</f>
        <v>0</v>
      </c>
      <c r="Q7" s="47">
        <f>IF(IFERROR(GETPIVOTDATA(" %RP4 On Time",Other!$A$7,"Group",1,"SBU","PC","Project Type","OEM/ODM"),0)=0,"NIL",IFERROR(GETPIVOTDATA(" %RP4 On Time",Other!$A$7,"Group",1,"SBU","PC","Project Type","OEM/ODM"),0))</f>
        <v>1</v>
      </c>
      <c r="R7" s="45">
        <f>IFERROR(GETPIVOTDATA(" RAMP UP Failed",Other!$A$7,"Group",1,"SBU","PC","Project Type","OEM/ODM"),0)</f>
        <v>0</v>
      </c>
      <c r="S7" s="46">
        <f>IF(IFERROR(GETPIVOTDATA(" %RAMP UP",Other!$A$7,"Group",1,"SBU","PC","Project Type","OEM/ODM"),0)=0,"NIL",IFERROR(GETPIVOTDATA(" %RAMP UP",Other!$A$7,"Group",1,"SBU","PC","Project Type","OEM/ODM"),0))</f>
        <v>1</v>
      </c>
      <c r="T7" s="49">
        <f>IFERROR(GETPIVOTDATA(" Price Variance",Other!$A$7,"Group",1,"SBU","PC","Project Type","OEM/ODM"),0)</f>
        <v>0</v>
      </c>
      <c r="U7" s="50" t="str">
        <f>IF(IFERROR(GETPIVOTDATA(" %Price VarianceP",Other!$A$7,"Group",1,"SBU","PC","Project Type","OEM/ODM"),0)=0,"NIL",IFERROR(GETPIVOTDATA(" %Price Variance",Other!$A$7,"Group",1,"SBU","PC","Project Type","OEM/ODM"),0))</f>
        <v>NIL</v>
      </c>
      <c r="V7" s="48">
        <f>IFERROR(GETPIVOTDATA(" RP5 Closure Failed",Other!$A$7,"Group",1,"SBU","PC","Project Type","OEM/ODM"),0)</f>
        <v>0</v>
      </c>
      <c r="W7" s="50" t="str">
        <f>IF(IFERROR(GETPIVOTDATA(" %RP5 Closure",Other!$A$7,"Group",1,"SBU","PC","Project Type","OEM/ODM"),0)=0,"NIL",IFERROR(GETPIVOTDATA(" %RP5 Closure",Other!$A$7,"Group",1,"SBU","PC","Project Type","OEM/ODM"),0))</f>
        <v>NIL</v>
      </c>
      <c r="Z7" s="122" t="s">
        <v>115</v>
      </c>
      <c r="AA7" s="122">
        <v>5</v>
      </c>
    </row>
    <row r="8" spans="1:27" ht="15.75" thickBot="1">
      <c r="A8" s="24"/>
      <c r="B8" s="773"/>
      <c r="C8" s="3" t="s">
        <v>70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0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0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0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0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0</v>
      </c>
      <c r="N8" s="45">
        <f>IFERROR(GETPIVOTDATA(" PSA Failed",Other!$A$7,"Group",1,"SBU","LC","Project Type","OEM/ODM"),0)</f>
        <v>0</v>
      </c>
      <c r="O8" s="47" t="str">
        <f>IF(IFERROR(GETPIVOTDATA(" %PSARRA",Other!$A$7,"Group",1,"SBU","LC","Project Type","OEM/ODM"),0)=0,"NIL",IFERROR(GETPIVOTDATA(" %PSARRA",Other!$A$7,"Group",1,"SBU","LC","Project Type","OEM/ODM"),0))</f>
        <v>NIL</v>
      </c>
      <c r="P8" s="45">
        <f>IFERROR(GETPIVOTDATA(" Delayed",Other!$A$7,"Group",1,"SBU","LC","Project Type","OEM/ODM"),0)</f>
        <v>0</v>
      </c>
      <c r="Q8" s="47" t="str">
        <f>IF(IFERROR(GETPIVOTDATA(" %RP4 On Time",Other!$A$7,"Group",1,"SBU","LC","Project Type","OEM/ODM"),0)=0,"NIL",IFERROR(GETPIVOTDATA(" %RP4 On Time",Other!$A$7,"Group",1,"SBU","LC","Project Type","OEM/ODM"),0))</f>
        <v>NIL</v>
      </c>
      <c r="R8" s="45">
        <f>IFERROR(GETPIVOTDATA(" RAMP UP Failed",Other!$A$7,"Group",1,"SBU","LC","Project Type","OEM/ODM"),0)</f>
        <v>0</v>
      </c>
      <c r="S8" s="46" t="str">
        <f>IF(IFERROR(GETPIVOTDATA(" %RAMP UP",Other!$A$7,"Group",1,"SBU","LC","Project Type","OEM/ODM"),0)=0,"NIL",IFERROR(GETPIVOTDATA(" %RAMP UP",Other!$A$7,"Group",1,"SBU","LC","Project Type","OEM/ODM"),0))</f>
        <v>NIL</v>
      </c>
      <c r="T8" s="49">
        <f>IFERROR(GETPIVOTDATA(" Price Variance",Other!$A$7,"Group",1,"SBU","LC","Project Type","OEM/ODM"),0)</f>
        <v>0</v>
      </c>
      <c r="U8" s="50" t="str">
        <f>IF(IFERROR(GETPIVOTDATA(" %Price Variance",Other!$A$7,"Group",1,"SBU","LC","Project Type","OEM/ODM"),0)=0,"NIL",IFERROR(GETPIVOTDATA(" %Price Variance",Other!$A$7,"Group",1,"SBU","LC","Project Type","OEM/ODM"),0))</f>
        <v>NIL</v>
      </c>
      <c r="V8" s="48">
        <f>IFERROR(GETPIVOTDATA(" RP5 Closure Failed",Other!$A$7,"Group",1,"SBU","LC","Project Type","OEM/ODM"),0)</f>
        <v>0</v>
      </c>
      <c r="W8" s="50" t="str">
        <f>IF(IFERROR(GETPIVOTDATA(" %RP5 Closure",Other!$A$7,"Group",1,"SBU","LC","Project Type","OEM/ODM"),0)=0,"NIL",IFERROR(GETPIVOTDATA(" %RP5 Closure",Other!$A$7,"Group",1,"SBU","LC","Project Type","OEM/ODM"),0))</f>
        <v>NIL</v>
      </c>
      <c r="Z8" s="122" t="s">
        <v>116</v>
      </c>
      <c r="AA8" s="122">
        <v>6</v>
      </c>
    </row>
    <row r="9" spans="1:27" ht="15.75" thickBot="1">
      <c r="A9" s="24"/>
      <c r="B9" s="773"/>
      <c r="C9" s="3" t="s">
        <v>71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3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0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0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 t="str">
        <f>IF(IFERROR(GETPIVOTDATA(" %PSARRA",Other!$A$7,"Group",1,"SBU","H.Comf","Project Type","OEM/ODM"),0)=0,"NIL",IFERROR(GETPIVOTDATA(" %PSARRA",Other!$A$7,"Group",1,"SBU","H.Comf","Project Type","OEM/ODM"),0))</f>
        <v>NIL</v>
      </c>
      <c r="P9" s="45">
        <f>IFERROR(GETPIVOTDATA(" Delayed",Other!$A$7,"Group",1,"SBU","H.Comf","Project Type","OEM/ODM"),0)</f>
        <v>0</v>
      </c>
      <c r="Q9" s="47" t="str">
        <f>IF(IFERROR(GETPIVOTDATA(" %RP4 On Time",Other!$A$7,"Group",1,"SBU","H.Comf","Project Type","OEM/ODM"),0)=0,"NIL",IFERROR(GETPIVOTDATA(" %RP4 On Time",Other!$A$7,"Group",1,"SBU","H.Comf","Project Type","OEM/ODM"),0))</f>
        <v>NIL</v>
      </c>
      <c r="R9" s="45">
        <f>IFERROR(GETPIVOTDATA(" RAMP UP Failed",Other!$A$7,"Group",1,"SBU","H.Comf","Project Type","OEM/ODM"),0)</f>
        <v>0</v>
      </c>
      <c r="S9" s="46" t="str">
        <f>IF(IFERROR(GETPIVOTDATA(" %RAMP UP",Other!$A$7,"Group",1,"SBU","H.Comf","Project Type","OEM/ODM"),0)=0,"NIL",IFERROR(GETPIVOTDATA(" %RAMP UP",Other!$A$7,"Group",1,"SBU","H.Comf","Project Type","OEM/ODM"),0))</f>
        <v>NIL</v>
      </c>
      <c r="T9" s="49">
        <f>IFERROR(GETPIVOTDATA(" Price Variance",Other!$A$7,"Group",1,"SBU","H.Comf","Project Type","OEM/ODM"),0)</f>
        <v>0</v>
      </c>
      <c r="U9" s="50" t="str">
        <f>IF(IFERROR(GETPIVOTDATA(" %Price Variance",Other!$A$7,"Group",1,"SBU","H.Comf","Project Type","OEM/ODM"),0)=0,"NIL",IFERROR(GETPIVOTDATA(" %Price Variance",Other!$A$7,"Group",1,"SBU","H.Comf","Project Type","OEM/ODM"),0))</f>
        <v>NIL</v>
      </c>
      <c r="V9" s="48">
        <f>IFERROR(GETPIVOTDATA(" RP5 Closure Failed",Other!$A$7,"Group",1,"SBU","H.Comf","Project Type","OEM/ODM"),0)</f>
        <v>0</v>
      </c>
      <c r="W9" s="50" t="str">
        <f>IF(IFERROR(GETPIVOTDATA(" %RP5 Closure",Other!$A$7,"Group",1,"SBU","H.Comf","Project Type","OEM/ODM"),0)=0,"NIL",IFERROR(GETPIVOTDATA(" %RP5 Closure",Other!$A$7,"Group",1,"SBU","H.Comf","Project Type","OEM/ODM"),0))</f>
        <v>NIL</v>
      </c>
      <c r="Z9" s="122" t="s">
        <v>117</v>
      </c>
      <c r="AA9" s="122">
        <v>7</v>
      </c>
    </row>
    <row r="10" spans="1:27" ht="15.75" thickBot="1">
      <c r="A10" s="24"/>
      <c r="B10" s="773"/>
      <c r="C10" s="3" t="s">
        <v>72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2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0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4</v>
      </c>
      <c r="N10" s="45">
        <f>IFERROR(GETPIVOTDATA(" PSA Failed",Other!$A$7,"Group",1,"SBU","H.Clean","Project Type","OEM/ODM"),0)</f>
        <v>0</v>
      </c>
      <c r="O10" s="47" t="str">
        <f>IF(IFERROR(GETPIVOTDATA(" %PSARRA",Other!$A$7,"Group",1,"SBU","H.Clean","Project Type","OEM/ODM"),0)=0,"NIL",IFERROR(GETPIVOTDATA(" %PSARRA",Other!$A$7,"Group",1,"SBU","H.Clean","Project Type","OEM/ODM"),0))</f>
        <v>NIL</v>
      </c>
      <c r="P10" s="45">
        <f>IFERROR(GETPIVOTDATA(" Delayed",Other!$A$7,"Group",1,"SBU","H.Clean","Project Type","OEM/ODM"),0)</f>
        <v>0</v>
      </c>
      <c r="Q10" s="47" t="str">
        <f>IF(IFERROR(GETPIVOTDATA(" %RP4 On Time",Other!$A$7,"Group",1,"SBU","H.Clean","Project Type","OEM/ODM"),0)=0,"NIL",IFERROR(GETPIVOTDATA(" %RP4 On Time",Other!$A$7,"Group",1,"SBU","H.Clean","Project Type","OEM/ODM"),0))</f>
        <v>NIL</v>
      </c>
      <c r="R10" s="45">
        <f>IFERROR(GETPIVOTDATA(" RAMP UP Failed",Other!$A$7,"Group",1,"SBU","H.Clean","Project Type","OEM/ODM"),0)</f>
        <v>0</v>
      </c>
      <c r="S10" s="46" t="str">
        <f>IF(IFERROR(GETPIVOTDATA(" %RAMP UP",Other!$A$7,"Group",1,"SBU","H.Clean","Project Type","OEM/ODM"),0)=0,"NIL",IFERROR(GETPIVOTDATA(" %RAMP UP",Other!$A$7,"Group",1,"SBU","H.Clean","Project Type","OEM/ODM"),0))</f>
        <v>NIL</v>
      </c>
      <c r="T10" s="49">
        <f>IFERROR(GETPIVOTDATA(" Price Variance",Other!$A$7,"Group",1,"SBU","H.Clean","Project Type","OEM/ODM"),0)</f>
        <v>0</v>
      </c>
      <c r="U10" s="50" t="str">
        <f>IF(IFERROR(GETPIVOTDATA(" %Price Variance",Other!$A$7,"Group",1,"SBU","H.Clean","Project Type","OEM/ODM"),0)=0,"NIL",IFERROR(GETPIVOTDATA(" %Price Variance",Other!$A$7,"Group",1,"SBU","H.Clean","Project Type","OEM/ODM"),0))</f>
        <v>NIL</v>
      </c>
      <c r="V10" s="48">
        <f>IFERROR(GETPIVOTDATA(" RP5 Closure Failed",Other!$A$7,"Group",1,"SBU","H.Clean","Project Type","OEM/ODM"),0)</f>
        <v>0</v>
      </c>
      <c r="W10" s="50">
        <f>IF(IFERROR(GETPIVOTDATA(" %RP5 Closure",Other!$A$7,"Group",1,"SBU","H.Clean","Project Type","OEM/ODM"),0)=0,"NIL",IFERROR(GETPIVOTDATA(" %RP5 Closure",Other!$A$7,"Group",1,"SBU","H.Clean","Project Type","OEM/ODM"),0))</f>
        <v>1</v>
      </c>
      <c r="Z10" s="122" t="s">
        <v>118</v>
      </c>
      <c r="AA10" s="122">
        <v>8</v>
      </c>
    </row>
    <row r="11" spans="1:27" ht="15.75" thickBot="1">
      <c r="A11" s="24"/>
      <c r="B11" s="773"/>
      <c r="C11" s="3" t="s">
        <v>73</v>
      </c>
      <c r="D11" s="39">
        <f>IFERROR(GETPIVOTDATA("Project Phase",'YTD SBU'!$A$7,"Group",1,"SBU","CK","Project Type","OEM/ODM","postingdate",VLOOKUP($B$2,myMonth,2,FALSE),"Project Phase","1. RP2"),0)</f>
        <v>4</v>
      </c>
      <c r="E11" s="39">
        <f>IFERROR(GETPIVOTDATA("Project Phase",'YTD SBU'!$A$7,"Group",1,"SBU","CK","Project Type","OEM/ODM","Project Phase","1. RP2"),0)</f>
        <v>5</v>
      </c>
      <c r="F11" s="40">
        <f>IFERROR(GETPIVOTDATA("Project Phase",'YTD SBU'!$A$7,"Group",1,"SBU","CK","Project Type","OEM/ODM","postingdate",VLOOKUP($B$2,myMonth,2,FALSE),"Project Phase","2. RP4"),0)</f>
        <v>0</v>
      </c>
      <c r="G11" s="41">
        <f>IFERROR(GETPIVOTDATA("Project Phase",'YTD SBU'!$A$7,"Group",1,"SBU","CK","Project Type","OEM/ODM","Project Phase","2. RP4"),0)</f>
        <v>2</v>
      </c>
      <c r="H11" s="42">
        <f>IFERROR(GETPIVOTDATA("Project Phase",'YTD SBU'!$A$7,"Group",1,"SBU","CK","Project Type","OEM/ODM","postingdate",VLOOKUP($B$2,myMonth,2,FALSE),"Project Phase","3. PSA/RRA"),0)</f>
        <v>0</v>
      </c>
      <c r="I11" s="125">
        <f>IFERROR(GETPIVOTDATA("Project Phase",'YTD SBU'!$A$7,"Group",1,"SBU","CK","Project Type","OEM/ODM","Project Phase","3. PSA/RRA"),0)</f>
        <v>2</v>
      </c>
      <c r="J11" s="43">
        <f>IFERROR(GETPIVOTDATA("Project Phase",'YTD SBU'!$A$7,"Group",1,"SBU","CK","Project Type","OEM/ODM","postingdate",VLOOKUP($B$2,myMonth,2,FALSE),"Project Phase","4. RAMP UP"),0)</f>
        <v>0</v>
      </c>
      <c r="K11" s="43">
        <f>IFERROR(GETPIVOTDATA("Project Phase",'YTD SBU'!$A$7,"Group",1,"SBU","CK","Project Type","OEM/ODM","Project Phase","4. RAMP UP"),0)</f>
        <v>1</v>
      </c>
      <c r="L11" s="44">
        <f>IFERROR(GETPIVOTDATA("Project Phase",'YTD SBU'!$A$7,"Group",1,"SBU","CK","Project Type","OEM/ODM","postingdate",VLOOKUP($B$2,myMonth,2,FALSE),"Project Phase","5. RP5 Closure"),0)</f>
        <v>0</v>
      </c>
      <c r="M11" s="44">
        <f>IFERROR(GETPIVOTDATA("Project Phase",'YTD SBU'!$A$7,"Group",1,"SBU","CK","Project Type","OEM/ODM","Project Phase","5. RP5 Closure"),0)</f>
        <v>0</v>
      </c>
      <c r="N11" s="45">
        <f>IFERROR(GETPIVOTDATA(" PSA Failed",Other!$A$7,"Group",1,"SBU","CK","Project Type","OEM/ODM"),0)</f>
        <v>0</v>
      </c>
      <c r="O11" s="47">
        <f>IF(IFERROR(GETPIVOTDATA(" %PSARRA",Other!$A$7,"Group",1,"SBU","CK","Project Type","OEM/ODM"),0)=0,"NIL",IFERROR(GETPIVOTDATA(" %PSARRA",Other!$A$7,"Group",1,"SBU","CK","Project Type","OEM/ODM"),0))</f>
        <v>1</v>
      </c>
      <c r="P11" s="45">
        <f>IFERROR(GETPIVOTDATA(" Delayed",Other!$A$7,"Group",1,"SBU","CK","Project Type","OEM/ODM"),0)</f>
        <v>0</v>
      </c>
      <c r="Q11" s="47">
        <f>IF(IFERROR(GETPIVOTDATA(" %RP4 On Time",Other!$A$7,"Group",1,"SBU","CK","Project Type","OEM/ODM"),0)=0,"NIL",IFERROR(GETPIVOTDATA(" %RP4 On Time",Other!$A$7,"Group",1,"SBU","CK","Project Type","OEM/ODM"),0))</f>
        <v>1</v>
      </c>
      <c r="R11" s="45">
        <f>IFERROR(GETPIVOTDATA(" RAMP UP Failed",Other!$A$7,"Group",1,"SBU","CK","Project Type","OEM/ODM"),0)</f>
        <v>0</v>
      </c>
      <c r="S11" s="46">
        <f>IF(IFERROR(GETPIVOTDATA(" %RAMP UP",Other!$A$7,"Group",1,"SBU","CK","Project Type","OEM/ODM"),0)=0,"NIL",IFERROR(GETPIVOTDATA(" %RAMP UP",Other!$A$7,"Group",1,"SBU","CK","Project Type","OEM/ODM"),0))</f>
        <v>1</v>
      </c>
      <c r="T11" s="49">
        <f>IFERROR(GETPIVOTDATA(" Price Variance",Other!$A$7,"Group",1,"SBU","CK","Project Type","OEM/ODM"),0)</f>
        <v>0</v>
      </c>
      <c r="U11" s="50">
        <f>IF(IFERROR(GETPIVOTDATA(" %Price Variance",Other!$A$7,"Group",1,"SBU","CK","Project Type","OEM/ODM"),0)=0,"NIL",IFERROR(GETPIVOTDATA(" %Price Variance",Other!$A$7,"Group",1,"SBU","CK","Project Type","OEM/ODM"),0))</f>
        <v>1</v>
      </c>
      <c r="V11" s="48">
        <f>IFERROR(GETPIVOTDATA(" RP5 Closure Failed",Other!$A$7,"Group",1,"SBU","CK","Project Type","OEM/ODM"),0)</f>
        <v>0</v>
      </c>
      <c r="W11" s="50" t="str">
        <f>IF(IFERROR(GETPIVOTDATA(" %RP5 Closure",Other!$A$7,"Group",1,"SBU","CK","Project Type","OEM/ODM"),0)=0,"NIL",IFERROR(GETPIVOTDATA(" %RP5 Closure",Other!$A$7,"Group",1,"SBU","CK","Project Type","OEM/ODM"),0))</f>
        <v>NIL</v>
      </c>
      <c r="Z11" s="122" t="s">
        <v>119</v>
      </c>
      <c r="AA11" s="122">
        <v>9</v>
      </c>
    </row>
    <row r="12" spans="1:27" ht="15.75" thickBot="1">
      <c r="A12" s="24"/>
      <c r="B12" s="773"/>
      <c r="C12" s="3" t="s">
        <v>74</v>
      </c>
      <c r="D12" s="39">
        <f>IFERROR(GETPIVOTDATA("Project Phase",'YTD SBU'!$A$7,"Group",1,"SBU","SA","Project Type","OEM/ODM","postingdate",VLOOKUP($B$2,myMonth,2,FALSE),"Project Phase","1. RP2"),0)</f>
        <v>3</v>
      </c>
      <c r="E12" s="39">
        <f>IFERROR(GETPIVOTDATA("Project Phase",'YTD SBU'!$A$7,"Group",1,"SBU","SA","Project Type","OEM/ODM","Project Phase","1. RP2"),0)</f>
        <v>4</v>
      </c>
      <c r="F12" s="40">
        <f>IFERROR(GETPIVOTDATA("Project Phase",'YTD SBU'!$A$7,"Group",1,"SBU","SA","Project Type","OEM/ODM","postingdate",VLOOKUP($B$2,myMonth,2,FALSE),"Project Phase","2. RP4"),0)</f>
        <v>3</v>
      </c>
      <c r="G12" s="41">
        <f>IFERROR(GETPIVOTDATA("Project Phase",'YTD SBU'!$A$7,"Group",1,"SBU","SA","Project Type","OEM/ODM","Project Phase","2. RP4"),0)</f>
        <v>8</v>
      </c>
      <c r="H12" s="42">
        <f>IFERROR(GETPIVOTDATA("Project Phase",'YTD SBU'!$A$7,"Group",1,"SBU","SA","Project Type","OEM/ODM","postingdate",VLOOKUP($B$2,myMonth,2,FALSE),"Project Phase","3. PSA/RRA"),0)</f>
        <v>2</v>
      </c>
      <c r="I12" s="125">
        <f>IFERROR(GETPIVOTDATA("Project Phase",'YTD SBU'!$A$7,"Group",1,"SBU","SA","Project Type","OEM/ODM","Project Phase","3. PSA/RRA"),0)</f>
        <v>6</v>
      </c>
      <c r="J12" s="43">
        <f>IFERROR(GETPIVOTDATA("Project Phase",'YTD SBU'!$A$7,"Group",1,"SBU","SA","Project Type","OEM/ODM","postingdate",VLOOKUP($B$2,myMonth,2,FALSE),"Project Phase","4. RAMP UP"),0)</f>
        <v>0</v>
      </c>
      <c r="K12" s="43">
        <f>IFERROR(GETPIVOTDATA("Project Phase",'YTD SBU'!$A$7,"Group",1,"SBU","SA","Project Type","OEM/ODM","Project Phase","4. RAMP UP"),0)</f>
        <v>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0</v>
      </c>
      <c r="N12" s="45">
        <f>IFERROR(GETPIVOTDATA(" PSA Failed",Other!$A$7,"Group",1,"SBU","SA","Project Type","OEM/ODM"),0)</f>
        <v>0</v>
      </c>
      <c r="O12" s="47">
        <f>IF(IFERROR(GETPIVOTDATA(" %PSARRA",Other!$A$7,"Group",1,"SBU","SA","Project Type","OEM/ODM"),0)=0,"NIL",IFERROR(GETPIVOTDATA(" %PSARRA",Other!$A$7,"Group",1,"SBU","SA","Project Type","OEM/ODM"),0))</f>
        <v>1</v>
      </c>
      <c r="P12" s="45">
        <f>IFERROR(GETPIVOTDATA(" Delayed",Other!$A$7,"Group",1,"SBU","SA","Project Type","OEM/ODM"),0)</f>
        <v>0</v>
      </c>
      <c r="Q12" s="47">
        <f>IF(IFERROR(GETPIVOTDATA(" %RP4 On Time",Other!$A$7,"Group",1,"SBU","SA","Project Type","OEM/ODM"),0)=0,"NIL",IFERROR(GETPIVOTDATA(" %RP4 On Time",Other!$A$7,"Group",1,"SBU","SA","Project Type","OEM/ODM"),0))</f>
        <v>1</v>
      </c>
      <c r="R12" s="45">
        <f>IFERROR(GETPIVOTDATA(" RAMP UP Failed",Other!$A$7,"Group",1,"SBU","SA","Project Type","OEM/ODM"),0)</f>
        <v>0</v>
      </c>
      <c r="S12" s="46" t="str">
        <f>IF(IFERROR(GETPIVOTDATA(" %RAMP UP",Other!$A$7,"Group",1,"SBU","SA","Project Type","OEM/ODM"),0)=0,"NIL",IFERROR(GETPIVOTDATA(" %RAMP UP",Other!$A$7,"Group",1,"SBU","SA","Project Type","OEM/ODM"),0))</f>
        <v>NIL</v>
      </c>
      <c r="T12" s="49">
        <f>IFERROR(GETPIVOTDATA(" Price Variance",Other!$A$7,"Group",1,"SBU","SA","Project Type","OEM/ODM"),0)</f>
        <v>0</v>
      </c>
      <c r="U12" s="50">
        <f>IF(IFERROR(GETPIVOTDATA(" %Price Variance",Other!$A$7,"Group",1,"SBU","SA","Project Type","OEM/ODM"),0)=0,"NIL",IFERROR(GETPIVOTDATA(" %Price Variance",Other!$A$7,"Group",1,"SBU","SA","Project Type","OEM/ODM"),0))</f>
        <v>1</v>
      </c>
      <c r="V12" s="48">
        <f>IFERROR(GETPIVOTDATA(" RP5 Closure Failed",Other!$A$7,"Group",1,"SBU","SA","Project Type","OEM/ODM"),0)</f>
        <v>0</v>
      </c>
      <c r="W12" s="50" t="str">
        <f>IF(IFERROR(GETPIVOTDATA(" %RP5 Closure",Other!$A$7,"Group",1,"SBU","SA","Project Type","OEM/ODM"),0)=0,"NIL",IFERROR(GETPIVOTDATA(" %RP5 Closure",Other!$A$7,"Group",1,"SBU","SA","Project Type","OEM/ODM"),0))</f>
        <v>NIL</v>
      </c>
      <c r="Z12" s="122" t="s">
        <v>120</v>
      </c>
      <c r="AA12" s="122">
        <v>10</v>
      </c>
    </row>
    <row r="13" spans="1:27" ht="15.75" thickBot="1">
      <c r="A13" s="24"/>
      <c r="B13" s="773"/>
      <c r="C13" s="2" t="s">
        <v>19</v>
      </c>
      <c r="D13" s="51">
        <f>IFERROR(GETPIVOTDATA("Project Phase",'YTD SBU'!$A$7,"Group",1,"Project Type","PPSA","postingdate",VLOOKUP($B$2,myMonth,2,FALSE),"Project Phase","1. RP2"),0)</f>
        <v>1</v>
      </c>
      <c r="E13" s="51">
        <f>IFERROR(GETPIVOTDATA("Project Phase",'YTD SBU'!$A$7,"Group",1,"Project Type","PPSA","Project Phase","1. RP2"),0)</f>
        <v>4</v>
      </c>
      <c r="F13" s="52">
        <f>IFERROR(GETPIVOTDATA("Project Phase",'YTD SBU'!$A$7,"Group",1,"Project Type","PPSA","postingdate",VLOOKUP($B$2,myMonth,2,FALSE),"Project Phase","2. RP4"),0)</f>
        <v>1</v>
      </c>
      <c r="G13" s="53">
        <f>GETPIVOTDATA("Project Phase",'YTD SBU'!$A$7,"Group",1,"Project Type","PPSA","Project Phase","2. RP4")</f>
        <v>3</v>
      </c>
      <c r="H13" s="54">
        <f>IFERROR(GETPIVOTDATA("Project Phase",'YTD SBU'!$A$7,"Group",1,"Project Type","PPSA","postingdate",VLOOKUP($B$2,myMonth,2,FALSE),"Project Phase","3. PSA/RRA"),0)</f>
        <v>1</v>
      </c>
      <c r="I13" s="126">
        <f>IFERROR(GETPIVOTDATA("Project Phase",'YTD SBU'!$A$7,"Group",1,"Project Type","PPSA","Project Phase","3. PSA/RRA"),0)</f>
        <v>3</v>
      </c>
      <c r="J13" s="55">
        <f>IFERROR(GETPIVOTDATA("Project Phase",'YTD SBU'!$A$7,"Group",1,"Project Type","PPSA","postingdate",VLOOKUP($B$2,myMonth,2,FALSE),"Project Phase","4. RAMP UP"),0)</f>
        <v>2</v>
      </c>
      <c r="K13" s="55">
        <f>IFERROR(GETPIVOTDATA("Project Phase",'YTD SBU'!$A$7,"Group",1,"Project Type","PPSA","Project Phase","4. RAMP UP"),0)</f>
        <v>5</v>
      </c>
      <c r="L13" s="56">
        <f>IFERROR(GETPIVOTDATA("Project Phase",'YTD SBU'!$A$7,"Group",1,"Project Type","PPSA","postingdate",VLOOKUP($B$2,myMonth,2,FALSE),"Project Phase","5. RP5 Closure"),0)</f>
        <v>0</v>
      </c>
      <c r="M13" s="56">
        <f>IFERROR(GETPIVOTDATA("Project Phase",'YTD SBU'!$A$7,"Group",1,"Project Type","PPSA","Project Phase","5. RP5 Closure"),0)</f>
        <v>0</v>
      </c>
      <c r="N13" s="45">
        <f>IFERROR(GETPIVOTDATA(" PSA Failed",Other!$A$7,"Group",1,"Project Type","PPSA"),0)</f>
        <v>1</v>
      </c>
      <c r="O13" s="58">
        <f>IF(IFERROR(GETPIVOTDATA(" %PSARRA",Other!$A$7,"Group",1,"Project Type","PPSA"),0)=0,"NIL",IFERROR(GETPIVOTDATA(" %PSARRA",Other!$A$7,"Group",1,"Project Type","PPSA"),0))</f>
        <v>0.66666666666666663</v>
      </c>
      <c r="P13" s="45">
        <f>IFERROR(GETPIVOTDATA(" Delayed",Other!$A$7,"Group",1,"Project Type","PPSA"),0)</f>
        <v>1</v>
      </c>
      <c r="Q13" s="58">
        <f>IF(IFERROR(GETPIVOTDATA(" %RP4 On Time",Other!$A$7,"Group",1,"Project Type","PPSA"),0)=0,"NIL",IFERROR(GETPIVOTDATA(" %RP4 On Time",Other!$A$7,"Group",1,"Project Type","PPSA"),0))</f>
        <v>0.66666666666666663</v>
      </c>
      <c r="R13" s="45">
        <f>IFERROR(GETPIVOTDATA(" RAMP UP Failed",Other!$A$7,"Group",1,"Project Type","PPSA"),0)</f>
        <v>0</v>
      </c>
      <c r="S13" s="57">
        <f>IF(IFERROR(GETPIVOTDATA(" %RAMP UP",Other!$A$7,"Group",1,"Project Type","PPSA"),0)=0,"NIL",IFERROR(GETPIVOTDATA(" %RAMP UP",Other!$A$7,"Group",1,"Project Type","PPSA"),0))</f>
        <v>1</v>
      </c>
      <c r="T13" s="60">
        <f>IFERROR(GETPIVOTDATA(" Price Variance",Other!$A$7,"Group",1,"Project Type","PPSA"),0)</f>
        <v>0</v>
      </c>
      <c r="U13" s="61">
        <f>IF(IFERROR(GETPIVOTDATA(" %Price Variance",Other!$A$7,"Group",1,"Project Type","PPSA"),0)=0,"NIL",IFERROR(GETPIVOTDATA(" %Price Variance",Other!$A$7,"Group",1,"Project Type","PPSA"),0))</f>
        <v>1</v>
      </c>
      <c r="V13" s="59">
        <f>IFERROR(GETPIVOTDATA(" RP5 Closure Failed",Other!$A$7,"Group",1,"Project Type","PPSA"),0)</f>
        <v>0</v>
      </c>
      <c r="W13" s="61" t="str">
        <f>IF(IFERROR(GETPIVOTDATA(" %RP5 Closure",Other!$A$7,"Group",1,"Project Type","PPSA"),0)=0,"NIL",IFERROR(GETPIVOTDATA(" %RP5 Closure",Other!$A$7,"Group",1,"Project Type","PPSA"),0))</f>
        <v>NIL</v>
      </c>
      <c r="Z13" s="122" t="s">
        <v>121</v>
      </c>
      <c r="AA13" s="122">
        <v>11</v>
      </c>
    </row>
    <row r="14" spans="1:27" ht="15.75" thickBot="1">
      <c r="A14" s="24"/>
      <c r="B14" s="773"/>
      <c r="C14" s="23" t="s">
        <v>75</v>
      </c>
      <c r="D14" s="62">
        <f>SUM(D4:D13)</f>
        <v>11</v>
      </c>
      <c r="E14" s="62">
        <f>SUM(E4:E13)</f>
        <v>24</v>
      </c>
      <c r="F14" s="62">
        <f t="shared" ref="F14:M14" si="0">SUM(F4:F13)</f>
        <v>6</v>
      </c>
      <c r="G14" s="62">
        <f t="shared" si="0"/>
        <v>16</v>
      </c>
      <c r="H14" s="127">
        <f t="shared" si="0"/>
        <v>3</v>
      </c>
      <c r="I14" s="127">
        <f t="shared" si="0"/>
        <v>16</v>
      </c>
      <c r="J14" s="62">
        <f t="shared" si="0"/>
        <v>2</v>
      </c>
      <c r="K14" s="62">
        <f t="shared" si="0"/>
        <v>8</v>
      </c>
      <c r="L14" s="62">
        <f t="shared" si="0"/>
        <v>1</v>
      </c>
      <c r="M14" s="62">
        <f t="shared" si="0"/>
        <v>5</v>
      </c>
      <c r="N14" s="63">
        <f>GETPIVOTDATA(" PSA Failed",Other!$A$7,"Group",1)</f>
        <v>1</v>
      </c>
      <c r="O14" s="64">
        <f>GETPIVOTDATA(" %PSARRA",Other!$A$7,"Group",1)</f>
        <v>0.9375</v>
      </c>
      <c r="P14" s="63">
        <f>GETPIVOTDATA(" Delayed",Other!$A$7,"Group",1)</f>
        <v>1</v>
      </c>
      <c r="Q14" s="64">
        <f>GETPIVOTDATA(" %RP4 On Time",Other!$A$7,"Group",1)</f>
        <v>0.9375</v>
      </c>
      <c r="R14" s="63">
        <f>GETPIVOTDATA(" RAMP UP Failed",Other!$A$7,"Group",1)</f>
        <v>0</v>
      </c>
      <c r="S14" s="66">
        <f>GETPIVOTDATA(" %RAMP UP",Other!$A$7,"Group",1)</f>
        <v>1</v>
      </c>
      <c r="T14" s="67">
        <f>GETPIVOTDATA(" Price Variance",Other!$A$7,"Group",1)</f>
        <v>0</v>
      </c>
      <c r="U14" s="68">
        <f>GETPIVOTDATA(" %Price Variance",Other!$A$7,"Group",1)</f>
        <v>1</v>
      </c>
      <c r="V14" s="65">
        <f>GETPIVOTDATA(" RP5 Closure Failed",Other!$A$7,"Group",1)</f>
        <v>0</v>
      </c>
      <c r="W14" s="68">
        <f>GETPIVOTDATA(" %RP5 Closure",Other!$A$7,"Group",1)</f>
        <v>1</v>
      </c>
      <c r="Z14" s="122" t="s">
        <v>122</v>
      </c>
      <c r="AA14" s="122">
        <v>12</v>
      </c>
    </row>
    <row r="15" spans="1:27" ht="15.75" thickBot="1">
      <c r="A15" s="24"/>
      <c r="B15" s="773"/>
      <c r="C15" s="25" t="s">
        <v>76</v>
      </c>
      <c r="D15" s="69">
        <f>IFERROR(GETPIVOTDATA("Project Phase",'YTD SBU GR2'!$A$7,"Group",2,"SBU","Total FP","postingdate",VLOOKUP($B$2,myMonth,2,FALSE),"Project Phase","1. RP2"),0)</f>
        <v>8</v>
      </c>
      <c r="E15" s="70">
        <f>IFERROR(GETPIVOTDATA("Project Phase",'YTD SBU GR2'!$A$7,"Group",2,"SBU","Total FP","Project Phase","1. RP2"),0)</f>
        <v>20</v>
      </c>
      <c r="F15" s="69">
        <f>IFERROR(GETPIVOTDATA("Project Phase",'YTD SBU GR2'!$A$7,"Group",2,"SBU","Total FP","postingdate",VLOOKUP($B$2,myMonth,2,FALSE),"Project Phase","2. RP4"),0)</f>
        <v>3</v>
      </c>
      <c r="G15" s="70">
        <f>IFERROR(GETPIVOTDATA("Project Phase",'YTD SBU GR2'!$A$7,"Group",2,"SBU","Total FP","Project Phase","2. RP4"),0)</f>
        <v>8</v>
      </c>
      <c r="H15" s="128">
        <f>IFERROR(GETPIVOTDATA("Project Phase",'YTD SBU GR2'!$A$7,"Group",2,"SBU","Total FP","postingdate",VLOOKUP($B$2,myMonth,2,FALSE),"Project Phase","3. PSA/RRA"),0)</f>
        <v>1</v>
      </c>
      <c r="I15" s="129">
        <f>IFERROR(GETPIVOTDATA("Project Phase",'YTD SBU GR2'!$A$7,"Group",2,"SBU","Total FP","Project Phase","3. PSA/RRA"),0)</f>
        <v>10</v>
      </c>
      <c r="J15" s="69">
        <f>IFERROR(GETPIVOTDATA("Project Phase",'YTD SBU GR2'!$A$7,"Group",2,"SBU","Total FP","postingdate",VLOOKUP($B$2,myMonth,2,FALSE),"Project Phase","4. RAMP UP"),0)</f>
        <v>2</v>
      </c>
      <c r="K15" s="70">
        <f>IFERROR(GETPIVOTDATA("Project Phase",'YTD SBU GR2'!$A$7,"Group",2,"SBU","Total FP","Project Phase","4. RAMP UP"),0)</f>
        <v>8</v>
      </c>
      <c r="L15" s="69">
        <f>IFERROR(GETPIVOTDATA("Project Phase",'YTD SBU GR2'!$A$7,"Group",2,"SBU","Total FP","postingdate",VLOOKUP($B$2,myMonth,2,FALSE),"Project Phase","5. RP5 Closure"),0)</f>
        <v>1</v>
      </c>
      <c r="M15" s="70">
        <f>IFERROR(GETPIVOTDATA("Project Phase",'YTD SBU GR2'!$A$7,"Group",2,"SBU","Total FP","Project Phase","5. RP5 Closure"),0)</f>
        <v>5</v>
      </c>
      <c r="N15" s="69">
        <f>GETPIVOTDATA(" PSA Failed",Other!$T$7,"Group",2,"SBU","Total FP")</f>
        <v>1</v>
      </c>
      <c r="O15" s="73">
        <f>IF(IFERROR(GETPIVOTDATA(" %PSARRA",Other!$T$7,"Group",2,"SBU","Total FP"),0)=0,"NIL",IFERROR(GETPIVOTDATA(" %PSARRA",Other!$T$7,"Group",2,"SBU","Total FP"),0))</f>
        <v>0.9</v>
      </c>
      <c r="P15" s="69">
        <f>IFERROR(GETPIVOTDATA(" Delayed",Other!$T$7,"Group",2,"SBU","Total FP"),0)</f>
        <v>1</v>
      </c>
      <c r="Q15" s="74">
        <f>IF(IFERROR(GETPIVOTDATA(" %RP4 On Time",Other!$T$7,"Group",2,"SBU","Total FP"),0)=0,"NIL",IFERROR(GETPIVOTDATA(" %RP4 On Time",Other!$T$7,"Group",2,"SBU","Total FP"),0))</f>
        <v>0.875</v>
      </c>
      <c r="R15" s="72">
        <f>IFERROR(GETPIVOTDATA(" RAMP UP Failed",Other!$T$7,"Group",2,"SBU","Total FP"),0)</f>
        <v>0</v>
      </c>
      <c r="S15" s="75">
        <f>IF(IFERROR(GETPIVOTDATA(" %RAMP UP",Other!$T$7,"Group",2,"SBU","Total FP"),0)=0,"NIL",IFERROR(GETPIVOTDATA(" %RAMP UP",Other!$T$7,"Group",2,"SBU","Total FP"),0))</f>
        <v>1</v>
      </c>
      <c r="T15" s="69">
        <f>IFERROR(GETPIVOTDATA(" Price Variance",Other!$T$7,"Group",2,"SBU","Total FP"),0)</f>
        <v>0</v>
      </c>
      <c r="U15" s="76">
        <f>IF(IFERROR(GETPIVOTDATA(" %Price Variance",Other!$T$7,"Group",2,"SBU","Total FP"),0)=0,"NIL",IFERROR(GETPIVOTDATA(" %Price Variance",Other!$T$7,"Group",2,"SBU","Total FP"),0))</f>
        <v>1</v>
      </c>
      <c r="V15" s="69">
        <f>IFERROR(GETPIVOTDATA(" RP5 Closure Failed",Other!$T$7,"Group",2,"SBU","Total FP"),0)</f>
        <v>0</v>
      </c>
      <c r="W15" s="76">
        <f>IF(IFERROR(GETPIVOTDATA(" %RP5 Closure",Other!$T$7,"Group",2,"SBU","Total FP"),0)=0,"NIL",IFERROR(GETPIVOTDATA(" %RP5 Closure",Other!$T$7,"Group",2,"SBU","Total FP"),0))</f>
        <v>1</v>
      </c>
    </row>
    <row r="16" spans="1:27" ht="15.75" thickBot="1">
      <c r="A16" s="24"/>
      <c r="B16" s="773"/>
      <c r="C16" s="25" t="s">
        <v>77</v>
      </c>
      <c r="D16" s="69">
        <f>IFERROR(GETPIVOTDATA("Project Phase",'YTD SBU GR2'!$A$7,"Group",2,"SBU","Total KE + HPC","postingdate",VLOOKUP($B$2,myMonth,2,FALSE),"Project Phase","1. RP2"),0)</f>
        <v>4</v>
      </c>
      <c r="E16" s="70">
        <f>IFERROR(GETPIVOTDATA("Project Phase",'YTD SBU GR2'!$A$7,"Group",2,"SBU","Total KE + HPC","Project Phase","1. RP2"),0)</f>
        <v>15</v>
      </c>
      <c r="F16" s="69">
        <f>IFERROR(GETPIVOTDATA("Project Phase",'YTD SBU GR2'!$A$7,"Group",2,"SBU","Total KE + HPC","postingdate",VLOOKUP($B$2,myMonth,2,FALSE),"Project Phase","2. RP4"),0)</f>
        <v>3</v>
      </c>
      <c r="G16" s="70">
        <f>IFERROR(GETPIVOTDATA("Project Phase",'YTD SBU GR2'!$A$7,"Group",2,"SBU","Total KE + HPC","Project Phase","2. RP4"),0)</f>
        <v>6</v>
      </c>
      <c r="H16" s="69">
        <f>IFERROR(GETPIVOTDATA("Project Phase",'YTD SBU GR2'!$A$7,"Group",2,"SBU","Total KE + HPC","postingdate",VLOOKUP($B$2,myMonth,2,FALSE),"Project Phase","3. PSA/RRA"),0)</f>
        <v>1</v>
      </c>
      <c r="I16" s="71">
        <f>IFERROR(GETPIVOTDATA("Project Phase",'YTD SBU GR2'!$A$7,"Group",2,"SBU","Total KE + HPC","Project Phase","3. PSA/RRA"),0)</f>
        <v>8</v>
      </c>
      <c r="J16" s="69">
        <f>IFERROR(GETPIVOTDATA("Project Phase",'YTD SBU GR2'!$A$7,"Group",2,"SBU","Total KE + HPC","postingdate",VLOOKUP($B$2,myMonth,2,FALSE),"Project Phase","4. RAMP UP"),0)</f>
        <v>2</v>
      </c>
      <c r="K16" s="70">
        <f>IFERROR(GETPIVOTDATA("Project Phase",'YTD SBU GR2'!$A$7,"Group",2,"SBU","Total KE + HPC","Project Phase","4. RAMP UP"),0)</f>
        <v>7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5</v>
      </c>
      <c r="N16" s="69">
        <f>GETPIVOTDATA(" PSA Failed",Other!$T$7,"Group",2,"SBU","Total KE + HPC")</f>
        <v>1</v>
      </c>
      <c r="O16" s="73">
        <f>IF(IFERROR(GETPIVOTDATA(" %PSARRA",Other!$T$7,"Group",2,"SBU","Total KE + HPC"),0)=0,"NIL",IFERROR(GETPIVOTDATA(" %PSARRA",Other!$T$7,"Group",2,"SBU","Total KE + HPC"),0))</f>
        <v>0.875</v>
      </c>
      <c r="P16" s="69">
        <f>IFERROR(GETPIVOTDATA(" Delayed",Other!$T$7,"Group",2,"SBU","Total KE + HPC"),0)</f>
        <v>1</v>
      </c>
      <c r="Q16" s="74">
        <f>IF(IFERROR(GETPIVOTDATA(" %RP4 On Time",Other!$T$7,"Group",2,"SBU","Total KE + HPC"),0)=0,"NIL",IFERROR(GETPIVOTDATA(" %RP4 On Time",Other!$T$7,"Group",2,"SBU","Total KE + HPC"),0))</f>
        <v>0.83333333333333337</v>
      </c>
      <c r="R16" s="72">
        <f>IFERROR(GETPIVOTDATA(" RAMP UP Failed",Other!$T$7,"Group",2,"SBU","Total KE + HPC"),0)</f>
        <v>0</v>
      </c>
      <c r="S16" s="75">
        <f>IF(IFERROR(GETPIVOTDATA(" %RAMP UP",Other!$T$7,"Group",2,"SBU","Total KE + HPC"),0)=0,"NIL",IFERROR(GETPIVOTDATA(" %RAMP UP",Other!$T$7,"Group",2,"SBU","Total KE + HPC"),0))</f>
        <v>1</v>
      </c>
      <c r="T16" s="69">
        <f>IFERROR(GETPIVOTDATA(" Price Variance",Other!$T$7,"Group",2,"SBU","Total KE + HPC"),0)</f>
        <v>0</v>
      </c>
      <c r="U16" s="76">
        <f>IF(IFERROR(GETPIVOTDATA(" %Price Variance",Other!$T$7,"Group",2,"SBU","Total KE + HPC"),0)=0,"NIL",IFERROR(GETPIVOTDATA(" %Price Variance",Other!$T$7,"Group",2,"SBU","Total KE + HPC"),0))</f>
        <v>1</v>
      </c>
      <c r="V16" s="72">
        <f>IFERROR(GETPIVOTDATA(" RP5 Closure Failed",Other!$T$7,"Group",2,"SBU","Total KE + HPC"),0)</f>
        <v>0</v>
      </c>
      <c r="W16" s="76">
        <f>IF(IFERROR(GETPIVOTDATA(" %RP5 Closure",Other!$T$7,"Group",2,"SBU","Total KE + HPC"),0)=0,"NIL",IFERROR(GETPIVOTDATA(" %RP5 Closure",Other!$T$7,"Group",2,"SBU","Total KE + HPC"),0))</f>
        <v>1</v>
      </c>
    </row>
    <row r="17" spans="1:30" ht="15.75" thickBot="1">
      <c r="A17" s="24"/>
      <c r="B17" s="773"/>
      <c r="C17" s="25" t="s">
        <v>78</v>
      </c>
      <c r="D17" s="69">
        <f>IFERROR(GETPIVOTDATA("Project Phase",'YTD SBU GR2'!$A$7,"Group",2,"SBU","Total KE","postingdate",VLOOKUP($B$2,myMonth,2,FALSE),"Project Phase","1. RP2"),0)</f>
        <v>2</v>
      </c>
      <c r="E17" s="70">
        <f>IFERROR(GETPIVOTDATA("Project Phase",'YTD SBU GR2'!$A$7,"Group",2,"SBU","Total KE","Project Phase","1. RP2"),0)</f>
        <v>4</v>
      </c>
      <c r="F17" s="69">
        <f>IFERROR(GETPIVOTDATA("Project Phase",'YTD SBU GR2'!$A$7,"Group",2,"SBU","Total KE","postingdate",VLOOKUP($B$2,myMonth,2,FALSE),"Project Phase","2. RP4"),0)</f>
        <v>1</v>
      </c>
      <c r="G17" s="70">
        <f>IFERROR(GETPIVOTDATA("Project Phase",'YTD SBU GR2'!$A$7,"Group",2,"SBU","Total KE","Project Phase","2. RP4"),0)</f>
        <v>3</v>
      </c>
      <c r="H17" s="69">
        <f>IFERROR(GETPIVOTDATA("Project Phase",'YTD SBU GR2'!$A$7,"Group",2,"SBU","Total KE","postingdate",VLOOKUP($B$2,myMonth,2,FALSE),"Project Phase","3. PSA/RRA"),0)</f>
        <v>1</v>
      </c>
      <c r="I17" s="71">
        <f>IFERROR(GETPIVOTDATA("Project Phase",'YTD SBU GR2'!$A$7,"Group",2,"SBU","Total KE","Project Phase","3. PSA/RRA"),0)</f>
        <v>3</v>
      </c>
      <c r="J17" s="69">
        <f>IFERROR(GETPIVOTDATA("Project Phase",'YTD SBU GR2'!$A$7,"Group",2,"SBU","Total KE","postingdate",VLOOKUP($B$2,myMonth,2,FALSE),"Project Phase","4. RAMP UP"),0)</f>
        <v>1</v>
      </c>
      <c r="K17" s="70">
        <f>IFERROR(GETPIVOTDATA("Project Phase",'YTD SBU GR2'!$A$7,"Group",2,"SBU","Total KE","Project Phase","4. RAMP UP"),0)</f>
        <v>5</v>
      </c>
      <c r="L17" s="69">
        <f>IFERROR(GETPIVOTDATA("Project Phase",'YTD SBU GR2'!$A$7,"Group",2,"SBU","Total KE","postingdate",VLOOKUP($B$2,myMonth,2,FALSE),"Project Phase","5. RP5 Closure"),0)</f>
        <v>1</v>
      </c>
      <c r="M17" s="70">
        <f>IFERROR(GETPIVOTDATA("Project Phase",'YTD SBU GR2'!$A$7,"Group",2,"SBU","Total KE","Project Phase","5. RP5 Closure"),0)</f>
        <v>1</v>
      </c>
      <c r="N17" s="77">
        <f>GETPIVOTDATA(" PSA Failed",Other!$T$7,"Group",2,"SBU","Total KE")</f>
        <v>0</v>
      </c>
      <c r="O17" s="79">
        <f>IF(IFERROR(GETPIVOTDATA(" %PSARRA",Other!$T$7,"Group",2,"SBU","Total KE"),0)=0,"NIL",IFERROR(GETPIVOTDATA(" %PSARRA",Other!$T$7,"Group",2,"SBU","Total KE"),0))</f>
        <v>1</v>
      </c>
      <c r="P17" s="77">
        <f>IFERROR(GETPIVOTDATA(" Delayed",Other!$T$7,"Group",2,"SBU","Total KE"),0)</f>
        <v>1</v>
      </c>
      <c r="Q17" s="80">
        <f>IF(IFERROR(GETPIVOTDATA(" %RP4 On Time",Other!$T$7,"Group",2,"SBU","Total KE"),0)=0,"NIL",IFERROR(GETPIVOTDATA(" %RP4 On Time",Other!$T$7,"Group",2,"SBU","Total KE"),0))</f>
        <v>0.66666666666666663</v>
      </c>
      <c r="R17" s="78">
        <f>IFERROR(GETPIVOTDATA(" RAMP UP Failed",Other!$T$7,"Group",2,"SBU","Total KE"),0)</f>
        <v>0</v>
      </c>
      <c r="S17" s="81">
        <f>IF(IFERROR(GETPIVOTDATA(" %RAMP UP",Other!$T$7,"Group",2,"SBU","Total KE"),0)=0,"NIL",IFERROR(GETPIVOTDATA(" %RAMP UP",Other!$T$7,"Group",2,"SBU","Total KE"),0))</f>
        <v>1</v>
      </c>
      <c r="T17" s="77">
        <f>IFERROR(GETPIVOTDATA(" Price Variance",Other!$T$7,"Group",2,"SBU","Total KE"),0)</f>
        <v>0</v>
      </c>
      <c r="U17" s="82">
        <f>IF(IFERROR(GETPIVOTDATA(" %Price Variance",Other!$T$7,"Group",2,"SBU","Total KE"),0)=0,"NIL",IFERROR(GETPIVOTDATA(" %Price Variance",Other!$T$7,"Group",2,"SBU","Total KE"),0))</f>
        <v>1</v>
      </c>
      <c r="V17" s="78">
        <f>IFERROR(GETPIVOTDATA(" RP5 Closure Failed",Other!$T$7,"Group",2,"SBU","Total KE"),0)</f>
        <v>0</v>
      </c>
      <c r="W17" s="82">
        <f>IF(IFERROR(GETPIVOTDATA(" %RP5 Closure",Other!$T$7,"Group",2,"SBU","Total KE"),0)=0,"NIL",IFERROR(GETPIVOTDATA(" %RP5 Closure",Other!$T$7,"Group",2,"SBU","Total KE"),0))</f>
        <v>1</v>
      </c>
    </row>
    <row r="18" spans="1:30" ht="15.75" thickBot="1">
      <c r="A18" s="24"/>
      <c r="B18" s="773"/>
      <c r="C18" s="25" t="s">
        <v>79</v>
      </c>
      <c r="D18" s="69">
        <f>IFERROR(GETPIVOTDATA("Project Phase",'YTD SBU GR2'!$A$7,"Group",2,"SBU","Total HPC","postingdate",VLOOKUP($B$2,myMonth,2,FALSE),"Project Phase","1. RP2"),0)</f>
        <v>2</v>
      </c>
      <c r="E18" s="70">
        <f>IFERROR(GETPIVOTDATA("Project Phase",'YTD SBU GR2'!$A$7,"Group",2,"SBU","Total HPC","Project Phase","1. RP2"),0)</f>
        <v>11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3</v>
      </c>
      <c r="H18" s="69">
        <f>IFERROR(GETPIVOTDATA("Project Phase",'YTD SBU GR2'!$A$7,"Group",2,"SBU","Total HPC","postingdate",VLOOKUP($B$2,myMonth,2,FALSE),"Project Phase","3. PSA/RRA"),0)</f>
        <v>0</v>
      </c>
      <c r="I18" s="71">
        <f>IFERROR(GETPIVOTDATA("Project Phase",'YTD SBU GR2'!$A$7,"Group",2,"SBU","Total HPC","Project Phase","3. PSA/RRA"),0)</f>
        <v>5</v>
      </c>
      <c r="J18" s="69">
        <f>IFERROR(GETPIVOTDATA("Project Phase",'YTD SBU GR2'!$A$7,"Group",2,"SBU","Total HPC","postingdate",VLOOKUP($B$2,myMonth,2,FALSE),"Project Phase","4. RAMP UP"),0)</f>
        <v>1</v>
      </c>
      <c r="K18" s="70">
        <f>IFERROR(GETPIVOTDATA("Project Phase",'YTD SBU GR2'!$A$7,"Group",2,"SBU","Total HPC","Project Phase","4. RAMP UP"),0)</f>
        <v>2</v>
      </c>
      <c r="L18" s="69">
        <f>IFERROR(GETPIVOTDATA("Project Phase",'YTD SBU GR2'!$A$7,"Group",2,"SBU","Total HPC","postingdate",VLOOKUP($B$2,myMonth,2,FALSE),"Project Phase","5. RP5 Closure"),0)</f>
        <v>0</v>
      </c>
      <c r="M18" s="70">
        <f>IFERROR(GETPIVOTDATA("Project Phase",'YTD SBU GR2'!$A$7,"Group",2,"SBU","Total HPC","Project Phase","5. RP5 Closure"),0)</f>
        <v>4</v>
      </c>
      <c r="N18" s="77">
        <f>GETPIVOTDATA(" PSA Failed",Other!$T$7,"Group",2,"SBU","Total HPC")</f>
        <v>1</v>
      </c>
      <c r="O18" s="79">
        <f>IF(IFERROR(GETPIVOTDATA(" %PSARRA",Other!$T$7,"Group",2,"SBU","Total HPC"),0)=0,"NIL",IFERROR(GETPIVOTDATA(" %PSARRA",Other!$T$7,"Group",2,"SBU","Total HPC"),0))</f>
        <v>0.8</v>
      </c>
      <c r="P18" s="77">
        <f>IFERROR(GETPIVOTDATA(" Delayed",Other!$T$7,"Group",2,"SBU","Total HPC"),0)</f>
        <v>0</v>
      </c>
      <c r="Q18" s="80">
        <f>IF(IFERROR(GETPIVOTDATA(" %RP4 On Time",Other!$T$7,"Group",2,"SBU","Total HPC"),0)=0,"NIL",IFERROR(GETPIVOTDATA(" %RP4 On Time",Other!$T$7,"Group",2,"SBU","Total HPC"),0))</f>
        <v>1</v>
      </c>
      <c r="R18" s="78">
        <f>IFERROR(GETPIVOTDATA(" RAMP UP Failed",Other!$T$7,"Group",2,"SBU","Total HPC"),0)</f>
        <v>0</v>
      </c>
      <c r="S18" s="81">
        <f>IF(IFERROR(GETPIVOTDATA(" %RAMP UP",Other!$T$7,"Group",2,"SBU","Total HPC"),0)=0,"NIL",IFERROR(GETPIVOTDATA(" %RAMP UP",Other!$T$7,"Group",2,"SBU","Total HPC"),0))</f>
        <v>1</v>
      </c>
      <c r="T18" s="77">
        <f>IFERROR(GETPIVOTDATA(" Price Variance",Other!$T$7,"Group",2,"SBU","Total HPC"),0)</f>
        <v>0</v>
      </c>
      <c r="U18" s="82">
        <f>IF(IFERROR(GETPIVOTDATA(" %Price Variance",Other!$T$7,"Group",2,"SBU","Total HPC"),0)=0,"NIL",IFERROR(GETPIVOTDATA(" %Price Variance",Other!$T$7,"Group",2,"SBU","Total HPC"),0))</f>
        <v>1</v>
      </c>
      <c r="V18" s="78">
        <f>IFERROR(GETPIVOTDATA(" RP5 Closure Failed",Other!$T$7,"Group",2,"SBU","Total HPC"),0)</f>
        <v>0</v>
      </c>
      <c r="W18" s="82">
        <f>IF(IFERROR(GETPIVOTDATA(" %RP5 Closure",Other!$T$7,"Group",2,"SBU","Total HPC"),0)=0,"NIL",IFERROR(GETPIVOTDATA(" %RP5 Closure",Other!$T$7,"Group",2,"SBU","Total HPC"),0))</f>
        <v>1</v>
      </c>
    </row>
    <row r="19" spans="1:30" ht="15.75" thickBot="1">
      <c r="A19" s="24"/>
      <c r="B19" s="773"/>
      <c r="C19" s="25" t="s">
        <v>80</v>
      </c>
      <c r="D19" s="69">
        <f>IFERROR(GETPIVOTDATA("Project Phase",'YTD SBU GR2'!$A$7,"Group",2,"SBU","Total CW","postingdate",VLOOKUP($B$2,myMonth,2,FALSE),"Project Phase","1. RP2"),0)</f>
        <v>4</v>
      </c>
      <c r="E19" s="70">
        <f>IFERROR(GETPIVOTDATA("Project Phase",'YTD SBU GR2'!$A$7,"Group",2,"SBU","Total CW","Project Phase","1. RP2"),0)</f>
        <v>5</v>
      </c>
      <c r="F19" s="69">
        <f>IFERROR(GETPIVOTDATA("Project Phase",'YTD SBU GR2'!$A$7,"Group",2,"SBU","Total CW","postingdate",VLOOKUP($B$2,myMonth,2,FALSE),"Project Phase","2. RP4"),0)</f>
        <v>0</v>
      </c>
      <c r="G19" s="70">
        <f>IFERROR(GETPIVOTDATA("Project Phase",'YTD SBU GR2'!$A$7,"Group",2,"SBU","Total CW","Project Phase","1. RP2"),0)</f>
        <v>5</v>
      </c>
      <c r="H19" s="69">
        <f>IFERROR(GETPIVOTDATA("Project Phase",'YTD SBU GR2'!$A$7,"Group",2,"SBU","Total CW","postingdate",VLOOKUP($B$2,myMonth,2,FALSE),"Project Phase","3. PSA/RRA"),0)</f>
        <v>0</v>
      </c>
      <c r="I19" s="71">
        <f>IFERROR(GETPIVOTDATA("Project Phase",'YTD SBU GR2'!$A$7,"Group",2,"SBU","Total CW","Project Phase","3. PSA/RRA"),0)</f>
        <v>2</v>
      </c>
      <c r="J19" s="69">
        <f>IFERROR(GETPIVOTDATA("Project Phase",'YTD SBU GR2'!$A$7,"Group",2,"SBU","Total CW","postingdate",VLOOKUP($B$2,myMonth,2,FALSE),"Project Phase","4. RAMP UP"),0)</f>
        <v>0</v>
      </c>
      <c r="K19" s="70">
        <f>IFERROR(GETPIVOTDATA("Project Phase",'YTD SBU GR2'!$A$7,"Group",2,"SBU","Total CW","Project Phase","4. RAMP UP"),0)</f>
        <v>1</v>
      </c>
      <c r="L19" s="69">
        <f>IFERROR(GETPIVOTDATA("Project Phase",'YTD SBU GR2'!$A$7,"Group",2,"SBU","Total CW","postingdate",VLOOKUP($B$2,myMonth,2,FALSE),"Project Phase","5. RP5 Closure"),0)</f>
        <v>0</v>
      </c>
      <c r="M19" s="70">
        <f>IFERROR(GETPIVOTDATA("Project Phase",'YTD SBU GR2'!$A$7,"Group",2,"SBU","Total CW","Project Phase","5. RP5 Closure"),0)</f>
        <v>0</v>
      </c>
      <c r="N19" s="77">
        <f>GETPIVOTDATA(" PSA Failed",Other!$T$7,"Group",2,"SBU","Total CW")</f>
        <v>0</v>
      </c>
      <c r="O19" s="79">
        <f>IF(IFERROR(GETPIVOTDATA(" %PSARRA",Other!$T$7,"Group",2,"SBU","Total CW"),0)=0,"NIL",IFERROR(GETPIVOTDATA(" %PSARRA",Other!$T$7,"Group",2,"SBU","Total CW"),0))</f>
        <v>1</v>
      </c>
      <c r="P19" s="77">
        <f>IFERROR(GETPIVOTDATA(" Delayed",Other!$T$7,"Group",2,"SBU","Total CW"),0)</f>
        <v>0</v>
      </c>
      <c r="Q19" s="80">
        <f>IF(IFERROR(GETPIVOTDATA(" %RP4 On Time",Other!$T$7,"Group",2,"SBU","Total CW"),0)=0,"NIL",IFERROR(GETPIVOTDATA(" %RP4 On Time",Other!$T$7,"Group",2,"SBU","Total CW"),0))</f>
        <v>1</v>
      </c>
      <c r="R19" s="78">
        <f>IFERROR(GETPIVOTDATA(" RAMP UP Failed",Other!$T$7,"Group",2,"SBU","Total CW"),0)</f>
        <v>0</v>
      </c>
      <c r="S19" s="81">
        <f>IF(IFERROR(GETPIVOTDATA(" %RAMP UP",Other!$T$7,"Group",2,"SBU","Total CW"),0)=0,"NIL",IFERROR(GETPIVOTDATA(" %RAMP UP",Other!$T$7,"Group",2,"SBU","Total CW"),0))</f>
        <v>1</v>
      </c>
      <c r="T19" s="77">
        <f>IFERROR(GETPIVOTDATA(" Price Variance",Other!$T$7,"Group",2,"SBU","Total CW"),0)</f>
        <v>0</v>
      </c>
      <c r="U19" s="82">
        <f>IF(IFERROR(GETPIVOTDATA(" %Price Variance",Other!$T$7,"Group",2,"SBU","Total CW"),0)=0,"NIL",IFERROR(GETPIVOTDATA(" %Price Variance",Other!$T$7,"Group",2,"SBU","Total CW"),0))</f>
        <v>1</v>
      </c>
      <c r="V19" s="78">
        <f>IFERROR(GETPIVOTDATA(" RP5 Closure Failed",Other!$T$7,"Group",2,"SBU","Total CW"),0)</f>
        <v>0</v>
      </c>
      <c r="W19" s="82" t="str">
        <f>IF(IFERROR(GETPIVOTDATA(" %RP5 Closure",Other!$T$7,"Group",2,"SBU","Total CW"),0)=0,"NIL",IFERROR(GETPIVOTDATA(" %RP5 Closure",Other!$T$7,"Group",2,"SBU","Total CW"),0))</f>
        <v>NIL</v>
      </c>
    </row>
    <row r="20" spans="1:30" ht="15.75" thickBot="1">
      <c r="A20" s="24"/>
      <c r="B20" s="773"/>
      <c r="C20" s="25" t="s">
        <v>81</v>
      </c>
      <c r="D20" s="69">
        <f>IFERROR(GETPIVOTDATA("Project Phase",'YTD SBU GR2'!$A$7,"Group",2,"SBU","Total SA","postingdate",VLOOKUP($B$2,myMonth,2,FALSE),"Project Phase","1. RP2"),0)</f>
        <v>3</v>
      </c>
      <c r="E20" s="70">
        <f>IFERROR(GETPIVOTDATA("Project Phase",'YTD SBU GR2'!$A$7,"Group",2,"SBU","Total SA","Project Phase","1. RP2"),0)</f>
        <v>4</v>
      </c>
      <c r="F20" s="69">
        <f>IFERROR(GETPIVOTDATA("Project Phase",'YTD SBU GR2'!$A$7,"Group",2,"SBU","Total SA","postingdate",VLOOKUP($B$2,myMonth,2,FALSE),"Project Phase","2. RP4"),0)</f>
        <v>3</v>
      </c>
      <c r="G20" s="70">
        <f>IFERROR(GETPIVOTDATA("Project Phase",'YTD SBU GR2'!$A$7,"Group",2,"SBU","Total SA","Project Phase","2. RP4"),0)</f>
        <v>8</v>
      </c>
      <c r="H20" s="130">
        <f>IFERROR(GETPIVOTDATA("Project Phase",'YTD SBU GR2'!$A$7,"Group",2,"SBU","Total SA","postingdate",VLOOKUP($B$2,myMonth,2,FALSE),"Project Phase","3. PSA/RRA"),0)</f>
        <v>2</v>
      </c>
      <c r="I20" s="131">
        <f>IFERROR(GETPIVOTDATA("Project Phase",'YTD SBU GR2'!$A$7,"Group",2,"SBU","Total SA","Project Phase","3. PSA/RRA"),0)</f>
        <v>6</v>
      </c>
      <c r="J20" s="69">
        <f>IFERROR(GETPIVOTDATA("Project Phase",'YTD SBU GR2'!$A$7,"Group",2,"SBU","Total SA","postingdate",VLOOKUP($B$2,myMonth,2,FALSE),"Project Phase","4. RAMP UP"),0)</f>
        <v>0</v>
      </c>
      <c r="K20" s="70">
        <f>IFERROR(GETPIVOTDATA("Project Phase",'YTD SBU GR2'!$A$7,"Group",2,"SBU","Total SA","Project Phase","4. RAMP UP"),0)</f>
        <v>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Phase","1. RP2"),0)</f>
        <v>4</v>
      </c>
      <c r="N20" s="83">
        <f>GETPIVOTDATA(" PSA Failed",Other!$T$7,"Group",2,"SBU","Total SA")</f>
        <v>0</v>
      </c>
      <c r="O20" s="84">
        <f>IF(IFERROR(GETPIVOTDATA(" %PSARRA",Other!$T$7,"Group",2,"SBU","Total SA"),0)=0,"NIL",IFERROR(GETPIVOTDATA(" %PSARRA",Other!$T$7,"Group",2,"SBU","Total SA"),0))</f>
        <v>1</v>
      </c>
      <c r="P20" s="83">
        <f>IFERROR(GETPIVOTDATA(" Delayed",Other!$T$7,"Group",2,"SBU","Total SA"),0)</f>
        <v>0</v>
      </c>
      <c r="Q20" s="85">
        <f>IF(IFERROR(GETPIVOTDATA(" %RP4 On Time",Other!$T$7,"Group",2,"SBU","Total SA"),0)=0,"NIL",IFERROR(GETPIVOTDATA(" %RP4 On Time",Other!$T$7,"Group",2,"SBU","Total SA"),0))</f>
        <v>1</v>
      </c>
      <c r="R20" s="86">
        <f>IFERROR(GETPIVOTDATA(" RAMP UP Failed",Other!$T$7,"Group",2,"SBU","Total SA"),0)</f>
        <v>0</v>
      </c>
      <c r="S20" s="87" t="str">
        <f>IF(IFERROR(GETPIVOTDATA(" %RAMP UP",Other!$T$7,"Group",2,"SBU","Total SA"),0)=0,"NIL",IFERROR(GETPIVOTDATA(" %RAMP UP",Other!$T$7,"Group",2,"SBU","Total SA"),0))</f>
        <v>NIL</v>
      </c>
      <c r="T20" s="83">
        <f>IFERROR(GETPIVOTDATA(" Price Variance",Other!$T$7,"Group",2,"SBU","Total SA"),0)</f>
        <v>0</v>
      </c>
      <c r="U20" s="88">
        <f>IF(IFERROR(GETPIVOTDATA(" %Price Variance",Other!$T$7,"Group",2,"SBU","Total SA"),0)=0,"NIL",IFERROR(GETPIVOTDATA(" %Price Variance",Other!$T$7,"Group",2,"SBU","Total SA"),0))</f>
        <v>1</v>
      </c>
      <c r="V20" s="86">
        <f>IFERROR(GETPIVOTDATA(" RP5 Closure Failed",Other!$T$7,"Group",2,"SBU","Total SA"),0)</f>
        <v>0</v>
      </c>
      <c r="W20" s="88" t="str">
        <f>IF(IFERROR(GETPIVOTDATA(" %RP5 Closure",Other!$T$7,"Group",2,"SBU","Total SA"),0)=0,"NIL",IFERROR(GETPIVOTDATA(" %RP5 Closure",Other!$T$7,"Group",2,"SBU","Total SA"),0))</f>
        <v>NIL</v>
      </c>
    </row>
    <row r="21" spans="1:30" ht="15.75" thickBot="1">
      <c r="A21" s="24"/>
      <c r="B21" s="773"/>
      <c r="C21" s="19" t="s">
        <v>82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1</v>
      </c>
      <c r="O21" s="97">
        <f>IF(IFERROR(GETPIVOTDATA(" %PSARRA",Other!$AO$7,"rolename","Allen Team"),0)=0,"NIL",IFERROR(GETPIVOTDATA(" %PSARRA",Other!$AO$7,"rolename","Allen Team"),0))</f>
        <v>0.75</v>
      </c>
      <c r="P21" s="98">
        <f>IFERROR(GETPIVOTDATA(" Delayed",Other!$AO$7,"rolename","Allen Team"),0)</f>
        <v>0</v>
      </c>
      <c r="Q21" s="99">
        <f>IF(IFERROR(GETPIVOTDATA(" %RP4 On Time",Other!$AO$7,"rolename","Allen Team"),0)=0,"NIL",IFERROR(GETPIVOTDATA(" %RP4 On Time",Other!$AO$7,"rolename","Allen Team"),0))</f>
        <v>1</v>
      </c>
      <c r="R21" s="100">
        <f>IFERROR(GETPIVOTDATA(" RAMP UP Failed",Other!$AO$7,"rolename","Allen Team"),0)</f>
        <v>0</v>
      </c>
      <c r="S21" s="101">
        <f>IF(IFERROR(GETPIVOTDATA(" %RP4 On Time",Other!$AO$7,"rolename","Allen Team"),0)=0,"NIL",IFERROR(GETPIVOTDATA(" %RP4 On Time",Other!$AO$7,"rolename","Allen Team"),0))</f>
        <v>1</v>
      </c>
      <c r="T21" s="102">
        <f>IFERROR(GETPIVOTDATA(" Price Variance",Other!$AO$7,"rolename","Allen Team"),0)</f>
        <v>0</v>
      </c>
      <c r="U21" s="99">
        <f>IF(IFERROR(GETPIVOTDATA(" %Price Variance",Other!$AO$7,"rolename","Allen Team"),0)=0,"NIL",IFERROR(GETPIVOTDATA(" %Price Variance",Other!$AO$7,"rolename","Allen Team"),0))</f>
        <v>1</v>
      </c>
      <c r="V21" s="100">
        <f>IFERROR(GETPIVOTDATA(" RP5 Closure Failed",Other!$AO$7,"rolename","Allen Team"),0)</f>
        <v>0</v>
      </c>
      <c r="W21" s="99">
        <f>IF(IFERROR(GETPIVOTDATA(" %RP5 Closure",Other!$AO$7,"rolename","Allen Team"),0)=0,"NIL",IFERROR(GETPIVOTDATA(" %RP5 Closure",Other!$AO$7,"rolename","Allen Team"),0))</f>
        <v>1</v>
      </c>
    </row>
    <row r="22" spans="1:30" ht="15.75" thickBot="1">
      <c r="A22" s="24"/>
      <c r="B22" s="773"/>
      <c r="C22" s="20" t="s">
        <v>83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IF(IFERROR(GETPIVOTDATA(" %PSARRA",Other!$AO$7,"rolename","Brenda Team"),0)=0,"NIL",IFERROR(GETPIVOTDATA(" %PSARRA",Other!$AO$7,"rolename","Brenda Team"),0))</f>
        <v>1</v>
      </c>
      <c r="P22" s="45">
        <f>IFERROR(GETPIVOTDATA(" Delayed",Other!$AO$7,"rolename","Brenda Team"),0)</f>
        <v>0</v>
      </c>
      <c r="Q22" s="50">
        <f>IF(IFERROR(GETPIVOTDATA(" %RP4 On Time",Other!$AO$7,"rolename","Brenda Team"),0)=0,"NIL",IFERROR(GETPIVOTDATA(" %RP4 On Time",Other!$AO$7,"rolename","Brenda Team"),0))</f>
        <v>1</v>
      </c>
      <c r="R22" s="48">
        <f>IFERROR(GETPIVOTDATA(" RAMP UP Failed",Other!$AO$7,"rolename","Brenda Team"),0)</f>
        <v>0</v>
      </c>
      <c r="S22" s="46">
        <f>IF(IFERROR(GETPIVOTDATA(" %RP4 On Time",Other!$AO$7,"rolename","Brenda Team"),0)=0,"NIL",IFERROR(GETPIVOTDATA(" %RP4 On Time",Other!$AO$7,"rolename","Brenda Team"),0))</f>
        <v>1</v>
      </c>
      <c r="T22" s="49">
        <f>IFERROR(GETPIVOTDATA(" Price Variance",Other!$AO$7,"rolename","Brenda Team"),0)</f>
        <v>0</v>
      </c>
      <c r="U22" s="50">
        <f>IF(IFERROR(GETPIVOTDATA(" %Price Variance",Other!$AO$7,"rolename","Brenda Team"),0)=0,"NIL",IFERROR(GETPIVOTDATA(" %Price Variance",Other!$AO$7,"rolename","Brenda Team"),0))</f>
        <v>1</v>
      </c>
      <c r="V22" s="48">
        <f>IFERROR(GETPIVOTDATA(" RP5 Closure Failed",Other!$AO$7,"rolename","Brenda Team"),0)</f>
        <v>0</v>
      </c>
      <c r="W22" s="50" t="str">
        <f>IF(IFERROR(GETPIVOTDATA(" %RP5 Closure",Other!$AO$7,"rolename","Brenda Team"),0)=0,"NIL",IFERROR(GETPIVOTDATA(" %RP5 Closure",Other!$AO$7,"rolename","Brenda Team"),0))</f>
        <v>NIL</v>
      </c>
    </row>
    <row r="23" spans="1:30" ht="15.75" thickBot="1">
      <c r="A23" s="24"/>
      <c r="B23" s="773"/>
      <c r="C23" s="20" t="s">
        <v>84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IF(IFERROR(GETPIVOTDATA(" %PSARRA",Other!$AO$7,"rolename","Gary Team"),0)=0,"NIL",IFERROR(GETPIVOTDATA(" %PSARRA",Other!$AO$7,"rolename","Gary Team"),0))</f>
        <v>1</v>
      </c>
      <c r="P23" s="45">
        <f>IFERROR(GETPIVOTDATA(" Delayed",Other!$AO$7,"rolename","Gary Team"),0)</f>
        <v>0</v>
      </c>
      <c r="Q23" s="50">
        <f>IF(IFERROR(GETPIVOTDATA(" %RP4 On Time",Other!$AO$7,"rolename","Gary Team"),0)=0,"NIL",IFERROR(GETPIVOTDATA(" %RP4 On Time",Other!$AO$7,"rolename","Gary Team"),0))</f>
        <v>1</v>
      </c>
      <c r="R23" s="48">
        <f>IFERROR(GETPIVOTDATA(" RAMP UP Failed",Other!$AO$7,"rolename","Gary Team"),0)</f>
        <v>0</v>
      </c>
      <c r="S23" s="46">
        <f>IF(IFERROR(GETPIVOTDATA(" %RP4 On Time",Other!$AO$7,"rolename","Gary Team"),0)=0,"NIL",IFERROR(GETPIVOTDATA(" %RP4 On Time",Other!$AO$7,"rolename","Gary Team"),0))</f>
        <v>1</v>
      </c>
      <c r="T23" s="49">
        <f>IFERROR(GETPIVOTDATA(" Price Variance",Other!$AO$7,"rolename","Gary Team"),0)</f>
        <v>0</v>
      </c>
      <c r="U23" s="50">
        <f>IF(IFERROR(GETPIVOTDATA(" %Price Variance",Other!$AO$7,"rolename","Gary Team"),0)=0,"NIL",IFERROR(GETPIVOTDATA(" %Price Variance",Other!$AO$7,"rolename","Gary Team"),0))</f>
        <v>1</v>
      </c>
      <c r="V23" s="48">
        <f>IFERROR(GETPIVOTDATA(" RP5 Closure Failed",Other!$AO$7,"rolename","Gary Team"),0)</f>
        <v>0</v>
      </c>
      <c r="W23" s="50" t="str">
        <f>IF(IFERROR(GETPIVOTDATA(" %RP5 Closure",Other!$AO$7,"rolename","Gary Team"),0)=0,"NIL",IFERROR(GETPIVOTDATA(" %RP5 Closure",Other!$AO$7,"rolename","Gary Team"),0))</f>
        <v>NIL</v>
      </c>
    </row>
    <row r="24" spans="1:30" ht="15.75" thickBot="1">
      <c r="A24" s="24"/>
      <c r="B24" s="773"/>
      <c r="C24" s="20" t="s">
        <v>85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IF(IFERROR(GETPIVOTDATA(" %PSARRA",Other!$AO$7,"rolename","Joey Team"),0)=0,"NIL",IFERROR(GETPIVOTDATA(" %PSARRA",Other!$AO$7,"rolename","Joey Team"),0))</f>
        <v>1</v>
      </c>
      <c r="P24" s="45">
        <f>IFERROR(GETPIVOTDATA(" Delayed",Other!$AO$7,"rolename","Joey Team"),0)</f>
        <v>1</v>
      </c>
      <c r="Q24" s="50">
        <f>IF(IFERROR(GETPIVOTDATA(" %RP4 On Time",Other!$AO$7,"rolename","Joey Team"),0)=0,"NIL",IFERROR(GETPIVOTDATA(" %RP4 On Time",Other!$AO$7,"rolename","Joey Team"),0))</f>
        <v>0.5</v>
      </c>
      <c r="R24" s="48">
        <f>IFERROR(GETPIVOTDATA(" RAMP UP Failed",Other!$AO$7,"rolename","Joey Team"),0)</f>
        <v>0</v>
      </c>
      <c r="S24" s="46">
        <f>IF(IFERROR(GETPIVOTDATA(" %RP4 On Time",Other!$AO$7,"rolename","Joey Team"),0)=0,"NIL",IFERROR(GETPIVOTDATA(" %RP4 On Time",Other!$AO$7,"rolename","Joey Team"),0))</f>
        <v>0.5</v>
      </c>
      <c r="T24" s="49">
        <f>IFERROR(GETPIVOTDATA(" Price Variance",Other!$AO$7,"rolename","Joey Team"),0)</f>
        <v>0</v>
      </c>
      <c r="U24" s="50">
        <f>IF(IFERROR(GETPIVOTDATA(" %Price Variance",Other!$AO$7,"rolename","Joey Team"),0)=0,"NIL",IFERROR(GETPIVOTDATA(" %Price Variance",Other!$AO$7,"rolename","Joey Team"),0))</f>
        <v>1</v>
      </c>
      <c r="V24" s="48">
        <f>IFERROR(GETPIVOTDATA(" RP5 Closure Failed",Other!$AO$7,"rolename","Joey Team"),0)</f>
        <v>0</v>
      </c>
      <c r="W24" s="50">
        <f>IF(IFERROR(GETPIVOTDATA(" %RP5 Closure",Other!$AO$7,"rolename","Joey Team"),0)=0,"NIL",IFERROR(GETPIVOTDATA(" %RP5 Closure",Other!$AO$7,"rolename","Joey Team"),0))</f>
        <v>1</v>
      </c>
    </row>
    <row r="25" spans="1:30" ht="15.75" thickBot="1">
      <c r="A25" s="24"/>
      <c r="B25" s="774"/>
      <c r="C25" s="21" t="s">
        <v>86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IF(IFERROR(GETPIVOTDATA(" %PSARRA",Other!$AO$7,"rolename","Karl Team"),0)=0,"NIL",IFERROR(GETPIVOTDATA(" %PSARRA",Other!$AO$7,"rolename","Karl Team"),0))</f>
        <v>1</v>
      </c>
      <c r="P25" s="117">
        <f>IFERROR(GETPIVOTDATA(" Delayed",Other!$AO$7,"rolename","Karl Team"),0)</f>
        <v>0</v>
      </c>
      <c r="Q25" s="118">
        <f>IF(IFERROR(GETPIVOTDATA(" %RP4 On Time",Other!$AO$7,"rolename","Karl Team"),0)=0,"NIL",IFERROR(GETPIVOTDATA(" %RP4 On Time",Other!$AO$7,"rolename","Karl Team"),0))</f>
        <v>1</v>
      </c>
      <c r="R25" s="119">
        <f>IFERROR(GETPIVOTDATA(" RAMP UP Failed",Other!$AO$7,"rolename","Karl Team"),0)</f>
        <v>0</v>
      </c>
      <c r="S25" s="120">
        <f>IF(IFERROR(GETPIVOTDATA(" %RP4 On Time",Other!$AO$7,"rolename","Karl Team"),0)=0,"NIL",IFERROR(GETPIVOTDATA(" %RP4 On Time",Other!$AO$7,"rolename","Karl Team"),0))</f>
        <v>1</v>
      </c>
      <c r="T25" s="121">
        <f>IFERROR(GETPIVOTDATA(" Price Variance",Other!$AO$7,"rolename","Karl Team"),0)</f>
        <v>0</v>
      </c>
      <c r="U25" s="118">
        <f>IF(IFERROR(GETPIVOTDATA(" %Price Variance",Other!$AO$7,"rolename","Karl Team"),0)=0,"NIL",IFERROR(GETPIVOTDATA(" %Price Variance",Other!$AO$7,"rolename","Karl Team"),0))</f>
        <v>1</v>
      </c>
      <c r="V25" s="119">
        <f>IFERROR(GETPIVOTDATA(" RP5 Closure Failed",Other!$AO$7,"rolename","Karl Team"),0)</f>
        <v>0</v>
      </c>
      <c r="W25" s="118" t="str">
        <f>IF(IFERROR(GETPIVOTDATA(" %RP5 Closure",Other!$AO$7,"rolename","Karl Team"),0)=0,"NIL",IFERROR(GETPIVOTDATA(" %RP5 Closure",Other!$AO$7,"rolename","Karl Team"),0))</f>
        <v>NIL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6"/>
      <c r="X27" s="216"/>
      <c r="Y27" s="768"/>
      <c r="Z27" s="768"/>
      <c r="AA27" s="768"/>
      <c r="AB27" s="768"/>
      <c r="AC27" s="768"/>
      <c r="AD27" s="768"/>
    </row>
    <row r="28" spans="1:30" ht="16.5" thickBot="1">
      <c r="W28" s="216"/>
      <c r="X28" s="216"/>
      <c r="Y28" s="769" t="s">
        <v>155</v>
      </c>
      <c r="Z28" s="770"/>
      <c r="AA28" s="770"/>
      <c r="AB28" s="770"/>
      <c r="AC28" s="770"/>
      <c r="AD28" s="771"/>
    </row>
    <row r="29" spans="1:30" ht="15.75" thickBot="1">
      <c r="W29" s="216"/>
      <c r="X29" s="216"/>
      <c r="Y29" s="226" t="s">
        <v>63</v>
      </c>
      <c r="Z29" s="226" t="s">
        <v>152</v>
      </c>
      <c r="AA29" s="227" t="s">
        <v>153</v>
      </c>
      <c r="AB29" s="217" t="s">
        <v>64</v>
      </c>
      <c r="AC29" s="217" t="s">
        <v>152</v>
      </c>
      <c r="AD29" s="235" t="s">
        <v>153</v>
      </c>
    </row>
    <row r="30" spans="1:30" ht="15.75" thickBot="1">
      <c r="B30" s="137"/>
      <c r="C30" s="137"/>
      <c r="D30" s="765" t="str">
        <f>CONCATENATE("Signed RP Check List by SBU in ",B3," (",B2,")")</f>
        <v>Signed RP Check List by SBU in 2015 (FEB)</v>
      </c>
      <c r="E30" s="766"/>
      <c r="F30" s="766"/>
      <c r="G30" s="766"/>
      <c r="H30" s="766"/>
      <c r="I30" s="766"/>
      <c r="J30" s="766"/>
      <c r="K30" s="766"/>
      <c r="L30" s="766"/>
      <c r="M30" s="766"/>
      <c r="N30" s="766"/>
      <c r="O30" s="766"/>
      <c r="P30" s="766"/>
      <c r="Q30" s="766"/>
      <c r="R30" s="767"/>
      <c r="W30" s="772" t="s">
        <v>156</v>
      </c>
      <c r="X30" s="222" t="s">
        <v>66</v>
      </c>
      <c r="Y30" s="228">
        <f>IFERROR(GETPIVOTDATA(" RP4+RAMP UP Success",Other!$T$7,"Group",1,"SBU","EC","postingdate",VLOOKUP($B$2,myMonth,2,FALSE)),0)</f>
        <v>0</v>
      </c>
      <c r="Z30" s="236">
        <f>IFERROR(GETPIVOTDATA(" RP4+RAMP UP Failed",Other!$T$7,"Group",1,"SBU","EC","postingdate",VLOOKUP($B$2,myMonth,2,FALSE)),0)</f>
        <v>0</v>
      </c>
      <c r="AA30" s="237" t="str">
        <f>IF(Y30=0,"NIL",(Y30-Z30)/Y30)</f>
        <v>NIL</v>
      </c>
      <c r="AB30" s="268">
        <f>IFERROR(GETPIVOTDATA(" RP4+RAMP UP Success",Other!$T$7,"Group",1,"SBU","EC"),0)</f>
        <v>1</v>
      </c>
      <c r="AC30" s="269">
        <f>IFERROR(GETPIVOTDATA(" RP4+RAMP UP Failed",Other!$T$7,"Group",1,"SBU","EC"),0)</f>
        <v>0</v>
      </c>
      <c r="AD30" s="238">
        <f t="shared" ref="AD30:AD50" si="1">IF(AB30=0,"NIL",(AB30-AC30)/AB30)</f>
        <v>1</v>
      </c>
    </row>
    <row r="31" spans="1:30" ht="15.75" thickBot="1">
      <c r="B31" s="138"/>
      <c r="C31" s="138"/>
      <c r="D31" s="778" t="s">
        <v>52</v>
      </c>
      <c r="E31" s="779"/>
      <c r="F31" s="780"/>
      <c r="G31" s="781" t="s">
        <v>149</v>
      </c>
      <c r="H31" s="779"/>
      <c r="I31" s="782"/>
      <c r="J31" s="778" t="s">
        <v>10</v>
      </c>
      <c r="K31" s="779"/>
      <c r="L31" s="780"/>
      <c r="M31" s="783" t="s">
        <v>150</v>
      </c>
      <c r="N31" s="784"/>
      <c r="O31" s="785"/>
      <c r="P31" s="781" t="s">
        <v>151</v>
      </c>
      <c r="Q31" s="779"/>
      <c r="R31" s="780"/>
      <c r="W31" s="773"/>
      <c r="X31" s="223" t="s">
        <v>67</v>
      </c>
      <c r="Y31" s="229">
        <f>IFERROR(GETPIVOTDATA(" RP4+RAMP UP Success",Other!$T$7,"Group",1,"SBU","FP","postingdate",VLOOKUP($B$2,myMonth,2,FALSE)),0)</f>
        <v>0</v>
      </c>
      <c r="Z31" s="239">
        <f>IFERROR(GETPIVOTDATA(" RP4+RAMP UP Failed",Other!$T$7,"Group",1,"SBU","FP","postingdate",VLOOKUP($B$2,myMonth,2,FALSE)),0)</f>
        <v>0</v>
      </c>
      <c r="AA31" s="240" t="str">
        <f t="shared" ref="AA31:AA50" si="2">IF(Y31=0,"NIL",(Y31-Z31)/Y31)</f>
        <v>NIL</v>
      </c>
      <c r="AB31" s="270">
        <f>IFERROR(GETPIVOTDATA(" RP4+RAMP UP Success",Other!$T$7,"Group",1,"SBU","FP"),0)</f>
        <v>1</v>
      </c>
      <c r="AC31" s="271">
        <f>IFERROR(GETPIVOTDATA(" RP4+RAMP UP Failed",Other!$T$7,"Group",1,"SBU","FP"),0)</f>
        <v>0</v>
      </c>
      <c r="AD31" s="241">
        <f t="shared" si="1"/>
        <v>1</v>
      </c>
    </row>
    <row r="32" spans="1:30" ht="15.75" thickBot="1">
      <c r="B32" s="139"/>
      <c r="C32" s="139"/>
      <c r="D32" s="145" t="s">
        <v>63</v>
      </c>
      <c r="E32" s="146" t="s">
        <v>152</v>
      </c>
      <c r="F32" s="147" t="s">
        <v>153</v>
      </c>
      <c r="G32" s="140" t="s">
        <v>63</v>
      </c>
      <c r="H32" s="148" t="s">
        <v>152</v>
      </c>
      <c r="I32" s="141" t="s">
        <v>153</v>
      </c>
      <c r="J32" s="149" t="s">
        <v>63</v>
      </c>
      <c r="K32" s="150" t="s">
        <v>152</v>
      </c>
      <c r="L32" s="151" t="s">
        <v>153</v>
      </c>
      <c r="M32" s="152" t="s">
        <v>63</v>
      </c>
      <c r="N32" s="153" t="s">
        <v>152</v>
      </c>
      <c r="O32" s="154" t="s">
        <v>153</v>
      </c>
      <c r="P32" s="142" t="s">
        <v>63</v>
      </c>
      <c r="Q32" s="155" t="s">
        <v>152</v>
      </c>
      <c r="R32" s="143" t="s">
        <v>153</v>
      </c>
      <c r="W32" s="773"/>
      <c r="X32" s="223" t="s">
        <v>68</v>
      </c>
      <c r="Y32" s="229">
        <f>IFERROR(GETPIVOTDATA(" RP4+RAMP UP Success",Other!$T$7,"Group",1,"SBU","BnB","postingdate",VLOOKUP($B$2,myMonth,2,FALSE)),0)</f>
        <v>0</v>
      </c>
      <c r="Z32" s="239">
        <f>IFERROR(GETPIVOTDATA(" RP4+RAMP UP Failed",Other!$T$7,"Group",1,"SBU","BnB","postingdate",VLOOKUP($B$2,myMonth,2,FALSE)),0)</f>
        <v>1</v>
      </c>
      <c r="AA32" s="240" t="str">
        <f t="shared" si="2"/>
        <v>NIL</v>
      </c>
      <c r="AB32" s="270">
        <f>IFERROR(GETPIVOTDATA(" RP4+RAMP UP Success",Other!$T$7,"Group",1,"SBU","BnB"),0)</f>
        <v>0</v>
      </c>
      <c r="AC32" s="271">
        <f>IFERROR(GETPIVOTDATA(" RP4+RAMP UP Failed",Other!$T$7,"Group",1,"SBU","BnB"),0)</f>
        <v>3</v>
      </c>
      <c r="AD32" s="241" t="str">
        <f t="shared" si="1"/>
        <v>NIL</v>
      </c>
    </row>
    <row r="33" spans="2:30" ht="15.75" thickBot="1">
      <c r="B33" s="775" t="s">
        <v>154</v>
      </c>
      <c r="C33" s="134" t="s">
        <v>66</v>
      </c>
      <c r="D33" s="170">
        <f>H4</f>
        <v>0</v>
      </c>
      <c r="E33" s="170">
        <f>D82</f>
        <v>0</v>
      </c>
      <c r="F33" s="171" t="str">
        <f>IF(D33=0,"NIL",(D33-E33)/D33)</f>
        <v>NIL</v>
      </c>
      <c r="G33" s="172">
        <f>F4</f>
        <v>0</v>
      </c>
      <c r="H33" s="173">
        <f>F82</f>
        <v>0</v>
      </c>
      <c r="I33" s="174" t="str">
        <f>IF(G33=0,"NIL",(G33-H33)/G33)</f>
        <v>NIL</v>
      </c>
      <c r="J33" s="165">
        <f>J4</f>
        <v>0</v>
      </c>
      <c r="K33" s="175">
        <f>H82</f>
        <v>0</v>
      </c>
      <c r="L33" s="176" t="str">
        <f>IF(J33=0,"NIL",(J33-K33)/J33)</f>
        <v>NIL</v>
      </c>
      <c r="M33" s="164">
        <f>F4</f>
        <v>0</v>
      </c>
      <c r="N33" s="173">
        <f>J82</f>
        <v>0</v>
      </c>
      <c r="O33" s="177" t="str">
        <f>IF(M33=0,"NIL",(M33-N33)/M33)</f>
        <v>NIL</v>
      </c>
      <c r="P33" s="178">
        <f>L4</f>
        <v>0</v>
      </c>
      <c r="Q33" s="179">
        <f>L82</f>
        <v>0</v>
      </c>
      <c r="R33" s="180" t="str">
        <f>IF(P33=0,"NIL",(P33-Q33)/P33)</f>
        <v>NIL</v>
      </c>
      <c r="W33" s="773"/>
      <c r="X33" s="223" t="s">
        <v>69</v>
      </c>
      <c r="Y33" s="229">
        <f>IFERROR(GETPIVOTDATA(" RP4+RAMP UP Success",Other!$T$7,"Group",1,"SBU","PC","postingdate",VLOOKUP($B$2,myMonth,2,FALSE)),0)</f>
        <v>0</v>
      </c>
      <c r="Z33" s="239">
        <f>IFERROR(GETPIVOTDATA(" RP4+RAMP UP Failed",Other!$T$7,"Group",1,"SBU","PC","postingdate",VLOOKUP($B$2,myMonth,2,FALSE)),0)</f>
        <v>0</v>
      </c>
      <c r="AA33" s="240" t="str">
        <f t="shared" si="2"/>
        <v>NIL</v>
      </c>
      <c r="AB33" s="270">
        <f>IFERROR(GETPIVOTDATA(" RP4+RAMP UP Success",Other!$T$7,"Group",1,"SBU","PC"),0)</f>
        <v>1</v>
      </c>
      <c r="AC33" s="271">
        <f>IFERROR(GETPIVOTDATA(" RP4+RAMP UP Failed",Other!$T$7,"Group",1,"SBU","PC"),0)</f>
        <v>0</v>
      </c>
      <c r="AD33" s="241">
        <f t="shared" si="1"/>
        <v>1</v>
      </c>
    </row>
    <row r="34" spans="2:30" ht="15.75" thickBot="1">
      <c r="B34" s="776"/>
      <c r="C34" s="135" t="s">
        <v>67</v>
      </c>
      <c r="D34" s="156">
        <f t="shared" ref="D34:D42" si="3">H5</f>
        <v>0</v>
      </c>
      <c r="E34" s="335">
        <f t="shared" ref="E34:E42" si="4">D83</f>
        <v>0</v>
      </c>
      <c r="F34" s="157" t="str">
        <f t="shared" ref="F34:F49" si="5">IF(D34=0,"NIL",(D34-E34)/D34)</f>
        <v>NIL</v>
      </c>
      <c r="G34" s="203">
        <f t="shared" ref="G34:G42" si="6">F5</f>
        <v>0</v>
      </c>
      <c r="H34" s="160">
        <f t="shared" ref="H34:H42" si="7">F83</f>
        <v>0</v>
      </c>
      <c r="I34" s="204" t="str">
        <f t="shared" ref="I34:I49" si="8">IF(G34=0,"NIL",(G34-H34)/G34)</f>
        <v>NIL</v>
      </c>
      <c r="J34" s="166">
        <f t="shared" ref="J34:J42" si="9">J5</f>
        <v>0</v>
      </c>
      <c r="K34" s="161">
        <f t="shared" ref="K34:K42" si="10">H83</f>
        <v>0</v>
      </c>
      <c r="L34" s="205" t="str">
        <f t="shared" ref="L34:L49" si="11">IF(J34=0,"NIL",(J34-K34)/J34)</f>
        <v>NIL</v>
      </c>
      <c r="M34" s="162">
        <f t="shared" ref="M34:M42" si="12">F5</f>
        <v>0</v>
      </c>
      <c r="N34" s="160">
        <f t="shared" ref="N34:N42" si="13">J83</f>
        <v>0</v>
      </c>
      <c r="O34" s="206" t="str">
        <f t="shared" ref="O34:O49" si="14">IF(M34=0,"NIL",(M34-N34)/M34)</f>
        <v>NIL</v>
      </c>
      <c r="P34" s="201">
        <f t="shared" ref="P34:P42" si="15">L5</f>
        <v>0</v>
      </c>
      <c r="Q34" s="163">
        <f t="shared" ref="Q34:Q42" si="16">L83</f>
        <v>0</v>
      </c>
      <c r="R34" s="158" t="str">
        <f t="shared" ref="R34:R49" si="17">IF(P34=0,"NIL",(P34-Q34)/P34)</f>
        <v>NIL</v>
      </c>
      <c r="W34" s="773"/>
      <c r="X34" s="223" t="s">
        <v>70</v>
      </c>
      <c r="Y34" s="229">
        <f>IFERROR(GETPIVOTDATA(" RP4+RAMP UP Success",Other!$T$7,"Group",1,"SBU","LC","postingdate",VLOOKUP($B$2,myMonth,2,FALSE)),0)</f>
        <v>0</v>
      </c>
      <c r="Z34" s="239">
        <f>IFERROR(GETPIVOTDATA(" RP4+RAMP UP Failed",Other!$T$7,"Group",1,"SBU","LC","postingdate",VLOOKUP($B$2,myMonth,2,FALSE)),0)</f>
        <v>0</v>
      </c>
      <c r="AA34" s="240" t="str">
        <f t="shared" si="2"/>
        <v>NIL</v>
      </c>
      <c r="AB34" s="270">
        <f>IFERROR(GETPIVOTDATA(" RP4+RAMP UP Success",Other!$T$7,"Group",1,"SBU","LC"),0)</f>
        <v>0</v>
      </c>
      <c r="AC34" s="271">
        <f>IFERROR(GETPIVOTDATA(" RP4+RAMP UP Failed",Other!$T$7,"Group",1,"SBU","LC"),0)</f>
        <v>0</v>
      </c>
      <c r="AD34" s="241" t="str">
        <f t="shared" si="1"/>
        <v>NIL</v>
      </c>
    </row>
    <row r="35" spans="2:30" ht="15.75" thickBot="1">
      <c r="B35" s="776"/>
      <c r="C35" s="135" t="s">
        <v>68</v>
      </c>
      <c r="D35" s="156">
        <f t="shared" si="3"/>
        <v>0</v>
      </c>
      <c r="E35" s="159">
        <f t="shared" si="4"/>
        <v>0</v>
      </c>
      <c r="F35" s="157" t="str">
        <f t="shared" si="5"/>
        <v>NIL</v>
      </c>
      <c r="G35" s="203">
        <f t="shared" si="6"/>
        <v>0</v>
      </c>
      <c r="H35" s="160">
        <f t="shared" si="7"/>
        <v>0</v>
      </c>
      <c r="I35" s="204" t="str">
        <f t="shared" si="8"/>
        <v>NIL</v>
      </c>
      <c r="J35" s="166">
        <f t="shared" si="9"/>
        <v>0</v>
      </c>
      <c r="K35" s="161">
        <f t="shared" si="10"/>
        <v>0</v>
      </c>
      <c r="L35" s="205" t="str">
        <f t="shared" si="11"/>
        <v>NIL</v>
      </c>
      <c r="M35" s="162">
        <f t="shared" si="12"/>
        <v>0</v>
      </c>
      <c r="N35" s="160">
        <f t="shared" si="13"/>
        <v>0</v>
      </c>
      <c r="O35" s="206" t="str">
        <f t="shared" si="14"/>
        <v>NIL</v>
      </c>
      <c r="P35" s="201">
        <f t="shared" si="15"/>
        <v>1</v>
      </c>
      <c r="Q35" s="163">
        <f t="shared" si="16"/>
        <v>0</v>
      </c>
      <c r="R35" s="158">
        <f t="shared" si="17"/>
        <v>1</v>
      </c>
      <c r="W35" s="773"/>
      <c r="X35" s="223" t="s">
        <v>71</v>
      </c>
      <c r="Y35" s="229">
        <f>IFERROR(GETPIVOTDATA(" RP4+RAMP UP Success",Other!$T$7,"Group",1,"SBU","H.Comf","postingdate",VLOOKUP($B$2,myMonth,2,FALSE)),0)</f>
        <v>0</v>
      </c>
      <c r="Z35" s="239">
        <f>IFERROR(GETPIVOTDATA(" RP4+RAMP UP Failed",Other!$T$7,"Group",1,"SBU","H.Comf","postingdate",VLOOKUP($B$2,myMonth,2,FALSE)),0)</f>
        <v>0</v>
      </c>
      <c r="AA35" s="240" t="str">
        <f t="shared" si="2"/>
        <v>NIL</v>
      </c>
      <c r="AB35" s="270">
        <f>IFERROR(GETPIVOTDATA(" RP4+RAMP UP Success",Other!$T$7,"Group",1,"SBU","H.Comf"),0)</f>
        <v>0</v>
      </c>
      <c r="AC35" s="271">
        <f>IFERROR(GETPIVOTDATA(" RP4+RAMP UP Failed",Other!$T$7,"Group",1,"SBU","H.Comf"),0)</f>
        <v>0</v>
      </c>
      <c r="AD35" s="241" t="str">
        <f t="shared" si="1"/>
        <v>NIL</v>
      </c>
    </row>
    <row r="36" spans="2:30" ht="15.75" thickBot="1">
      <c r="B36" s="776"/>
      <c r="C36" s="135" t="s">
        <v>69</v>
      </c>
      <c r="D36" s="156">
        <f t="shared" si="3"/>
        <v>0</v>
      </c>
      <c r="E36" s="159">
        <f t="shared" si="4"/>
        <v>0</v>
      </c>
      <c r="F36" s="157" t="str">
        <f t="shared" si="5"/>
        <v>NIL</v>
      </c>
      <c r="G36" s="203">
        <f t="shared" si="6"/>
        <v>2</v>
      </c>
      <c r="H36" s="160">
        <f t="shared" si="7"/>
        <v>0</v>
      </c>
      <c r="I36" s="204">
        <f t="shared" si="8"/>
        <v>1</v>
      </c>
      <c r="J36" s="166">
        <f t="shared" si="9"/>
        <v>0</v>
      </c>
      <c r="K36" s="161">
        <f t="shared" si="10"/>
        <v>0</v>
      </c>
      <c r="L36" s="205" t="str">
        <f t="shared" si="11"/>
        <v>NIL</v>
      </c>
      <c r="M36" s="162">
        <f t="shared" si="12"/>
        <v>2</v>
      </c>
      <c r="N36" s="160">
        <f t="shared" si="13"/>
        <v>0</v>
      </c>
      <c r="O36" s="206">
        <f t="shared" si="14"/>
        <v>1</v>
      </c>
      <c r="P36" s="201">
        <f t="shared" si="15"/>
        <v>0</v>
      </c>
      <c r="Q36" s="163">
        <f t="shared" si="16"/>
        <v>0</v>
      </c>
      <c r="R36" s="158" t="str">
        <f t="shared" si="17"/>
        <v>NIL</v>
      </c>
      <c r="W36" s="773"/>
      <c r="X36" s="223" t="s">
        <v>72</v>
      </c>
      <c r="Y36" s="229">
        <f>IFERROR(GETPIVOTDATA(" RP4+RAMP UP Success",Other!$T$7,"Group",1,"SBU","H.Clean","postingdate",VLOOKUP($B$2,myMonth,2,FALSE)),0)</f>
        <v>0</v>
      </c>
      <c r="Z36" s="239">
        <f>IFERROR(GETPIVOTDATA(" RP4+RAMP UP Failed",Other!$T$7,"Group",1,"SBU","H.Clean","postingdate",VLOOKUP($B$2,myMonth,2,FALSE)),0)</f>
        <v>0</v>
      </c>
      <c r="AA36" s="240" t="str">
        <f t="shared" si="2"/>
        <v>NIL</v>
      </c>
      <c r="AB36" s="270">
        <f>IFERROR(GETPIVOTDATA(" RP4+RAMP UP Success",Other!$T$7,"Group",1,"SBU","H.Clean"),0)</f>
        <v>0</v>
      </c>
      <c r="AC36" s="271">
        <f>IFERROR(GETPIVOTDATA(" RP4+RAMP UP Failed",Other!$T$7,"Group",1,"SBU","H.Clean"),0)</f>
        <v>0</v>
      </c>
      <c r="AD36" s="241" t="str">
        <f t="shared" si="1"/>
        <v>NIL</v>
      </c>
    </row>
    <row r="37" spans="2:30" ht="15.75" thickBot="1">
      <c r="B37" s="776"/>
      <c r="C37" s="135" t="s">
        <v>70</v>
      </c>
      <c r="D37" s="156">
        <f t="shared" si="3"/>
        <v>0</v>
      </c>
      <c r="E37" s="159">
        <f t="shared" si="4"/>
        <v>0</v>
      </c>
      <c r="F37" s="157" t="str">
        <f t="shared" si="5"/>
        <v>NIL</v>
      </c>
      <c r="G37" s="203">
        <f t="shared" si="6"/>
        <v>0</v>
      </c>
      <c r="H37" s="160">
        <f t="shared" si="7"/>
        <v>0</v>
      </c>
      <c r="I37" s="204" t="str">
        <f t="shared" si="8"/>
        <v>NIL</v>
      </c>
      <c r="J37" s="166">
        <f t="shared" si="9"/>
        <v>0</v>
      </c>
      <c r="K37" s="161">
        <f t="shared" si="10"/>
        <v>0</v>
      </c>
      <c r="L37" s="205" t="str">
        <f t="shared" si="11"/>
        <v>NIL</v>
      </c>
      <c r="M37" s="162">
        <f t="shared" si="12"/>
        <v>0</v>
      </c>
      <c r="N37" s="160">
        <f t="shared" si="13"/>
        <v>0</v>
      </c>
      <c r="O37" s="206" t="str">
        <f t="shared" si="14"/>
        <v>NIL</v>
      </c>
      <c r="P37" s="201">
        <f t="shared" si="15"/>
        <v>0</v>
      </c>
      <c r="Q37" s="163">
        <f t="shared" si="16"/>
        <v>0</v>
      </c>
      <c r="R37" s="158" t="str">
        <f t="shared" si="17"/>
        <v>NIL</v>
      </c>
      <c r="W37" s="773"/>
      <c r="X37" s="223" t="s">
        <v>73</v>
      </c>
      <c r="Y37" s="229">
        <f>IFERROR(GETPIVOTDATA(" RP4+RAMP UP Success",Other!$T$7,"Group",1,"SBU","CK","postingdate",VLOOKUP($B$2,myMonth,2,FALSE)),0)</f>
        <v>0</v>
      </c>
      <c r="Z37" s="239">
        <f>IFERROR(GETPIVOTDATA(" RP4+RAMP UP Failed",Other!$T$7,"Group",1,"SBU","CK","postingdate",VLOOKUP($B$2,myMonth,2,FALSE)),0)</f>
        <v>0</v>
      </c>
      <c r="AA37" s="240" t="str">
        <f t="shared" si="2"/>
        <v>NIL</v>
      </c>
      <c r="AB37" s="270">
        <f>IFERROR(GETPIVOTDATA(" RP4+RAMP UP Success",Other!$T$7,"Group",1,"SBU","CK"),0)</f>
        <v>1</v>
      </c>
      <c r="AC37" s="271">
        <f>IFERROR(GETPIVOTDATA(" RP4+RAMP UP Failed",Other!$T$7,"Group",1,"SBU","CK"),0)</f>
        <v>0</v>
      </c>
      <c r="AD37" s="241">
        <f t="shared" si="1"/>
        <v>1</v>
      </c>
    </row>
    <row r="38" spans="2:30" ht="15.75" thickBot="1">
      <c r="B38" s="776"/>
      <c r="C38" s="135" t="s">
        <v>71</v>
      </c>
      <c r="D38" s="156">
        <f t="shared" si="3"/>
        <v>0</v>
      </c>
      <c r="E38" s="159">
        <f t="shared" si="4"/>
        <v>0</v>
      </c>
      <c r="F38" s="157" t="str">
        <f t="shared" si="5"/>
        <v>NIL</v>
      </c>
      <c r="G38" s="203">
        <f t="shared" si="6"/>
        <v>0</v>
      </c>
      <c r="H38" s="160">
        <f t="shared" si="7"/>
        <v>0</v>
      </c>
      <c r="I38" s="204" t="str">
        <f t="shared" si="8"/>
        <v>NIL</v>
      </c>
      <c r="J38" s="166">
        <f t="shared" si="9"/>
        <v>0</v>
      </c>
      <c r="K38" s="161">
        <f t="shared" si="10"/>
        <v>0</v>
      </c>
      <c r="L38" s="205" t="str">
        <f t="shared" si="11"/>
        <v>NIL</v>
      </c>
      <c r="M38" s="162">
        <f t="shared" si="12"/>
        <v>0</v>
      </c>
      <c r="N38" s="160">
        <f t="shared" si="13"/>
        <v>0</v>
      </c>
      <c r="O38" s="206" t="str">
        <f t="shared" si="14"/>
        <v>NIL</v>
      </c>
      <c r="P38" s="201">
        <f t="shared" si="15"/>
        <v>0</v>
      </c>
      <c r="Q38" s="163">
        <f t="shared" si="16"/>
        <v>0</v>
      </c>
      <c r="R38" s="158" t="str">
        <f t="shared" si="17"/>
        <v>NIL</v>
      </c>
      <c r="W38" s="773"/>
      <c r="X38" s="223" t="s">
        <v>74</v>
      </c>
      <c r="Y38" s="229">
        <f>IFERROR(GETPIVOTDATA(" RP4+RAMP UP Success",Other!$T$7,"Group",1,"SBU","SA","postingdate",VLOOKUP($B$2,myMonth,2,FALSE)),0)</f>
        <v>0</v>
      </c>
      <c r="Z38" s="239">
        <f>IFERROR(GETPIVOTDATA(" RP4+RAMP UP Failed",Other!$T$7,"Group",1,"SBU","SA","postingdate",VLOOKUP($B$2,myMonth,2,FALSE)),0)</f>
        <v>0</v>
      </c>
      <c r="AA38" s="240" t="str">
        <f t="shared" si="2"/>
        <v>NIL</v>
      </c>
      <c r="AB38" s="272">
        <f>IFERROR(GETPIVOTDATA(" RP4+RAMP UP Success",Other!$T$7,"Group",1,"SBU","SA"),0)</f>
        <v>0</v>
      </c>
      <c r="AC38" s="273">
        <f>IFERROR(GETPIVOTDATA(" RP4+RAMP UP Failed",Other!$T$7,"Group",1,"SBU","SA"),0)</f>
        <v>0</v>
      </c>
      <c r="AD38" s="241" t="str">
        <f t="shared" si="1"/>
        <v>NIL</v>
      </c>
    </row>
    <row r="39" spans="2:30" ht="15.75" thickBot="1">
      <c r="B39" s="776"/>
      <c r="C39" s="135" t="s">
        <v>72</v>
      </c>
      <c r="D39" s="156">
        <f t="shared" si="3"/>
        <v>0</v>
      </c>
      <c r="E39" s="159">
        <f t="shared" si="4"/>
        <v>0</v>
      </c>
      <c r="F39" s="157" t="str">
        <f t="shared" si="5"/>
        <v>NIL</v>
      </c>
      <c r="G39" s="203">
        <f t="shared" si="6"/>
        <v>0</v>
      </c>
      <c r="H39" s="160">
        <f t="shared" si="7"/>
        <v>0</v>
      </c>
      <c r="I39" s="204" t="str">
        <f t="shared" si="8"/>
        <v>NIL</v>
      </c>
      <c r="J39" s="166">
        <f t="shared" si="9"/>
        <v>0</v>
      </c>
      <c r="K39" s="161">
        <f t="shared" si="10"/>
        <v>0</v>
      </c>
      <c r="L39" s="205" t="str">
        <f t="shared" si="11"/>
        <v>NIL</v>
      </c>
      <c r="M39" s="162">
        <f t="shared" si="12"/>
        <v>0</v>
      </c>
      <c r="N39" s="160">
        <f t="shared" si="13"/>
        <v>0</v>
      </c>
      <c r="O39" s="206" t="str">
        <f t="shared" si="14"/>
        <v>NIL</v>
      </c>
      <c r="P39" s="201">
        <f t="shared" si="15"/>
        <v>0</v>
      </c>
      <c r="Q39" s="163">
        <f t="shared" si="16"/>
        <v>0</v>
      </c>
      <c r="R39" s="158" t="str">
        <f t="shared" si="17"/>
        <v>NIL</v>
      </c>
      <c r="W39" s="773"/>
      <c r="X39" s="224" t="s">
        <v>75</v>
      </c>
      <c r="Y39" s="234">
        <f>SUM(Y30:Y38)</f>
        <v>0</v>
      </c>
      <c r="Z39" s="242">
        <f>SUM(Z30:Z38)</f>
        <v>1</v>
      </c>
      <c r="AA39" s="243" t="str">
        <f t="shared" si="2"/>
        <v>NIL</v>
      </c>
      <c r="AB39" s="244">
        <f>SUM(AB30:AB38)</f>
        <v>4</v>
      </c>
      <c r="AC39" s="264">
        <f>SUM(AC30:AC38)</f>
        <v>3</v>
      </c>
      <c r="AD39" s="243">
        <f t="shared" si="1"/>
        <v>0.25</v>
      </c>
    </row>
    <row r="40" spans="2:30" ht="15.75" thickBot="1">
      <c r="B40" s="776"/>
      <c r="C40" s="135" t="s">
        <v>73</v>
      </c>
      <c r="D40" s="156">
        <f t="shared" si="3"/>
        <v>0</v>
      </c>
      <c r="E40" s="159">
        <f t="shared" si="4"/>
        <v>0</v>
      </c>
      <c r="F40" s="157" t="str">
        <f t="shared" si="5"/>
        <v>NIL</v>
      </c>
      <c r="G40" s="203">
        <f t="shared" si="6"/>
        <v>0</v>
      </c>
      <c r="H40" s="160">
        <f t="shared" si="7"/>
        <v>0</v>
      </c>
      <c r="I40" s="204" t="str">
        <f t="shared" si="8"/>
        <v>NIL</v>
      </c>
      <c r="J40" s="166">
        <f t="shared" si="9"/>
        <v>0</v>
      </c>
      <c r="K40" s="161">
        <f t="shared" si="10"/>
        <v>0</v>
      </c>
      <c r="L40" s="205" t="str">
        <f t="shared" si="11"/>
        <v>NIL</v>
      </c>
      <c r="M40" s="162">
        <f t="shared" si="12"/>
        <v>0</v>
      </c>
      <c r="N40" s="160">
        <f t="shared" si="13"/>
        <v>0</v>
      </c>
      <c r="O40" s="206" t="str">
        <f t="shared" si="14"/>
        <v>NIL</v>
      </c>
      <c r="P40" s="201">
        <f t="shared" si="15"/>
        <v>0</v>
      </c>
      <c r="Q40" s="163">
        <f t="shared" si="16"/>
        <v>0</v>
      </c>
      <c r="R40" s="158" t="str">
        <f t="shared" si="17"/>
        <v>NIL</v>
      </c>
      <c r="W40" s="773"/>
      <c r="X40" s="220" t="s">
        <v>76</v>
      </c>
      <c r="Y40" s="230">
        <f>IFERROR(GETPIVOTDATA(" RP4+RAMP UP Success",Other!$T$7,"Group",2,"SBU","Total FP","postingdate",VLOOKUP($B$2,myMonth,2,FALSE)),2)</f>
        <v>0</v>
      </c>
      <c r="Z40" s="245">
        <f>IFERROR(GETPIVOTDATA(" RP4+RAMP UP Failed",Other!$T$7,"Group",2,"SBU","Total FP","postingdate",VLOOKUP($B$2,myMonth,2,FALSE)),2)</f>
        <v>1</v>
      </c>
      <c r="AA40" s="246" t="str">
        <f t="shared" si="2"/>
        <v>NIL</v>
      </c>
      <c r="AB40" s="247">
        <f>GETPIVOTDATA(" RP4+RAMP UP Success",Other!$T$7,"Group",2,"SBU","Total FP")</f>
        <v>4</v>
      </c>
      <c r="AC40" s="265">
        <f>GETPIVOTDATA(" RP4+RAMP UP Failed",Other!$T$7,"Group",2,"SBU","Total FP")</f>
        <v>3</v>
      </c>
      <c r="AD40" s="246">
        <f t="shared" si="1"/>
        <v>0.25</v>
      </c>
    </row>
    <row r="41" spans="2:30" ht="15.75" thickBot="1">
      <c r="B41" s="776"/>
      <c r="C41" s="135" t="s">
        <v>74</v>
      </c>
      <c r="D41" s="156">
        <f t="shared" si="3"/>
        <v>2</v>
      </c>
      <c r="E41" s="159">
        <f t="shared" si="4"/>
        <v>0</v>
      </c>
      <c r="F41" s="157">
        <f t="shared" si="5"/>
        <v>1</v>
      </c>
      <c r="G41" s="203">
        <f t="shared" si="6"/>
        <v>3</v>
      </c>
      <c r="H41" s="160">
        <f t="shared" si="7"/>
        <v>0</v>
      </c>
      <c r="I41" s="204">
        <f t="shared" si="8"/>
        <v>1</v>
      </c>
      <c r="J41" s="166">
        <f t="shared" si="9"/>
        <v>0</v>
      </c>
      <c r="K41" s="161">
        <f t="shared" si="10"/>
        <v>0</v>
      </c>
      <c r="L41" s="205" t="str">
        <f t="shared" si="11"/>
        <v>NIL</v>
      </c>
      <c r="M41" s="162">
        <f t="shared" si="12"/>
        <v>3</v>
      </c>
      <c r="N41" s="160">
        <f t="shared" si="13"/>
        <v>0</v>
      </c>
      <c r="O41" s="206">
        <f t="shared" si="14"/>
        <v>1</v>
      </c>
      <c r="P41" s="201">
        <f t="shared" si="15"/>
        <v>0</v>
      </c>
      <c r="Q41" s="163">
        <f t="shared" si="16"/>
        <v>0</v>
      </c>
      <c r="R41" s="158" t="str">
        <f t="shared" si="17"/>
        <v>NIL</v>
      </c>
      <c r="W41" s="773"/>
      <c r="X41" s="220" t="s">
        <v>78</v>
      </c>
      <c r="Y41" s="221">
        <f>IFERROR(GETPIVOTDATA(" RP4+RAMP UP Success",Other!$T$7,"Group",2,"SBU","Total KE","postingdate",VLOOKUP($B$2,myMonth,2,FALSE)),2)</f>
        <v>0</v>
      </c>
      <c r="Z41" s="248">
        <f>IFERROR(GETPIVOTDATA(" RP4+RAMP UP Failed",Other!$T$7,"Group",2,"SBU","Total KE","postingdate",VLOOKUP($B$2,myMonth,2,FALSE)),2)</f>
        <v>1</v>
      </c>
      <c r="AA41" s="249" t="str">
        <f t="shared" si="2"/>
        <v>NIL</v>
      </c>
      <c r="AB41" s="250">
        <f>GETPIVOTDATA(" RP4+RAMP UP Success",Other!$T$7,"Group",2,"SBU","Total KE")</f>
        <v>2</v>
      </c>
      <c r="AC41" s="265">
        <f>GETPIVOTDATA(" RP4+RAMP UP Failed",Other!$T$7,"Group",2,"SBU","Total KE")</f>
        <v>3</v>
      </c>
      <c r="AD41" s="249">
        <f t="shared" si="1"/>
        <v>-0.5</v>
      </c>
    </row>
    <row r="42" spans="2:30" ht="15.75" thickBot="1">
      <c r="B42" s="776"/>
      <c r="C42" s="136" t="s">
        <v>19</v>
      </c>
      <c r="D42" s="156">
        <f t="shared" si="3"/>
        <v>1</v>
      </c>
      <c r="E42" s="207">
        <f t="shared" si="4"/>
        <v>0</v>
      </c>
      <c r="F42" s="208">
        <f t="shared" si="5"/>
        <v>1</v>
      </c>
      <c r="G42" s="202">
        <f t="shared" si="6"/>
        <v>1</v>
      </c>
      <c r="H42" s="209">
        <f t="shared" si="7"/>
        <v>0</v>
      </c>
      <c r="I42" s="210">
        <f t="shared" si="8"/>
        <v>1</v>
      </c>
      <c r="J42" s="167">
        <f t="shared" si="9"/>
        <v>2</v>
      </c>
      <c r="K42" s="196">
        <f t="shared" si="10"/>
        <v>0</v>
      </c>
      <c r="L42" s="211">
        <f t="shared" si="11"/>
        <v>1</v>
      </c>
      <c r="M42" s="168">
        <f t="shared" si="12"/>
        <v>1</v>
      </c>
      <c r="N42" s="209">
        <f t="shared" si="13"/>
        <v>0</v>
      </c>
      <c r="O42" s="212">
        <f t="shared" si="14"/>
        <v>1</v>
      </c>
      <c r="P42" s="213">
        <f t="shared" si="15"/>
        <v>0</v>
      </c>
      <c r="Q42" s="214">
        <f t="shared" si="16"/>
        <v>0</v>
      </c>
      <c r="R42" s="169" t="str">
        <f t="shared" si="17"/>
        <v>NIL</v>
      </c>
      <c r="W42" s="773"/>
      <c r="X42" s="220" t="s">
        <v>79</v>
      </c>
      <c r="Y42" s="221">
        <f>IFERROR(GETPIVOTDATA(" RP4+RAMP UP Success",Other!$T$7,"Group",2,"SBU","Total HPC","postingdate",VLOOKUP($B$2,myMonth,2,FALSE)),2)</f>
        <v>0</v>
      </c>
      <c r="Z42" s="248">
        <f>IFERROR(GETPIVOTDATA(" RP4+RAMP UP Failed",Other!$T$7,"Group",2,"SBU","Total HPC","postingdate",VLOOKUP($B$2,myMonth,2,FALSE)),2)</f>
        <v>0</v>
      </c>
      <c r="AA42" s="249" t="str">
        <f t="shared" si="2"/>
        <v>NIL</v>
      </c>
      <c r="AB42" s="250">
        <f>GETPIVOTDATA(" RP4+RAMP UP Success",Other!$T$7,"Group",2,"SBU","Total HPC")</f>
        <v>1</v>
      </c>
      <c r="AC42" s="265">
        <f>GETPIVOTDATA(" RP4+RAMP UP Failed",Other!$T$7,"Group",2,"SBU","Total HPC")</f>
        <v>0</v>
      </c>
      <c r="AD42" s="249">
        <f t="shared" si="1"/>
        <v>1</v>
      </c>
    </row>
    <row r="43" spans="2:30" ht="15.75" thickBot="1">
      <c r="B43" s="776"/>
      <c r="C43" s="144" t="s">
        <v>75</v>
      </c>
      <c r="D43" s="197">
        <f>SUM(D33:D42)</f>
        <v>3</v>
      </c>
      <c r="E43" s="198">
        <f>SUM(E33:E42)</f>
        <v>0</v>
      </c>
      <c r="F43" s="199">
        <f t="shared" si="5"/>
        <v>1</v>
      </c>
      <c r="G43" s="200">
        <f>SUM(G33:G42)</f>
        <v>6</v>
      </c>
      <c r="H43" s="198">
        <f>SUM(H33:H42)</f>
        <v>0</v>
      </c>
      <c r="I43" s="199">
        <f t="shared" si="8"/>
        <v>1</v>
      </c>
      <c r="J43" s="197">
        <f>SUM(J33:J42)</f>
        <v>2</v>
      </c>
      <c r="K43" s="198">
        <f>SUM(K33:K42)</f>
        <v>0</v>
      </c>
      <c r="L43" s="199">
        <f t="shared" si="11"/>
        <v>1</v>
      </c>
      <c r="M43" s="197">
        <f>SUM(M33:M42)</f>
        <v>6</v>
      </c>
      <c r="N43" s="198">
        <f>SUM(N33:N42)</f>
        <v>0</v>
      </c>
      <c r="O43" s="199">
        <f t="shared" si="14"/>
        <v>1</v>
      </c>
      <c r="P43" s="200">
        <f>SUM(P33:P42)</f>
        <v>1</v>
      </c>
      <c r="Q43" s="198">
        <f>SUM(Q33:Q42)</f>
        <v>0</v>
      </c>
      <c r="R43" s="199">
        <f t="shared" si="17"/>
        <v>1</v>
      </c>
      <c r="W43" s="773"/>
      <c r="X43" s="220" t="s">
        <v>80</v>
      </c>
      <c r="Y43" s="221">
        <f>IFERROR(GETPIVOTDATA(" RP4+RAMP UP Success",Other!$T$7,"Group",2,"SBU","Total CW","postingdate",VLOOKUP($B$2,myMonth,2,FALSE)),2)</f>
        <v>0</v>
      </c>
      <c r="Z43" s="248">
        <f>IFERROR(GETPIVOTDATA(" RP4+RAMP UP Failed",Other!$T$7,"Group",2,"SBU","Total CW","postingdate",VLOOKUP($B$2,myMonth,2,FALSE)),2)</f>
        <v>0</v>
      </c>
      <c r="AA43" s="249" t="str">
        <f t="shared" si="2"/>
        <v>NIL</v>
      </c>
      <c r="AB43" s="250">
        <f>GETPIVOTDATA(" RP4+RAMP UP Success",Other!$T$7,"Group",2,"SBU","Total CW")</f>
        <v>1</v>
      </c>
      <c r="AC43" s="265">
        <f>GETPIVOTDATA(" RP4+RAMP UP Failed",Other!$T$7,"Group",2,"SBU","Total CW")</f>
        <v>0</v>
      </c>
      <c r="AD43" s="249">
        <f t="shared" si="1"/>
        <v>1</v>
      </c>
    </row>
    <row r="44" spans="2:30" ht="15.75" thickBot="1">
      <c r="B44" s="776"/>
      <c r="C44" s="181" t="s">
        <v>76</v>
      </c>
      <c r="D44" s="182">
        <f>D15</f>
        <v>8</v>
      </c>
      <c r="E44" s="183">
        <f>IFERROR(GETPIVOTDATA(" PSA Failed",Other!$T$7,"Group",2,"SBU","Total FP"),0)</f>
        <v>1</v>
      </c>
      <c r="F44" s="184">
        <f t="shared" si="5"/>
        <v>0.875</v>
      </c>
      <c r="G44" s="185">
        <f>F15</f>
        <v>3</v>
      </c>
      <c r="H44" s="183">
        <f>IFERROR(GETPIVOTDATA(" Delayed",Other!$T$7,"Group",2,"SBU","Total FP"),0)</f>
        <v>1</v>
      </c>
      <c r="I44" s="184">
        <f t="shared" si="8"/>
        <v>0.66666666666666663</v>
      </c>
      <c r="J44" s="182">
        <f>J4</f>
        <v>0</v>
      </c>
      <c r="K44" s="183">
        <f>IFERROR(GETPIVOTDATA(" RAMP UP Failed",Other!$T$7,"Group",2,"SBU","Total FP"),0)</f>
        <v>0</v>
      </c>
      <c r="L44" s="184" t="str">
        <f t="shared" si="11"/>
        <v>NIL</v>
      </c>
      <c r="M44" s="182">
        <f>F15</f>
        <v>3</v>
      </c>
      <c r="N44" s="183">
        <f>IFERROR(GETPIVOTDATA(" Price Variance",Other!$T$7,"Group",2,"SBU","Total FP"),0)</f>
        <v>0</v>
      </c>
      <c r="O44" s="184">
        <f t="shared" si="14"/>
        <v>1</v>
      </c>
      <c r="P44" s="185">
        <f>L15</f>
        <v>1</v>
      </c>
      <c r="Q44" s="183">
        <f>IFERROR(GETPIVOTDATA(" RP5 Closure Failed",Other!$T$7,"Group",2,"SBU","Total FP"),0)</f>
        <v>0</v>
      </c>
      <c r="R44" s="184">
        <f t="shared" si="17"/>
        <v>1</v>
      </c>
      <c r="W44" s="773"/>
      <c r="X44" s="274" t="s">
        <v>81</v>
      </c>
      <c r="Y44" s="275">
        <f>IFERROR(GETPIVOTDATA(" RP4+RAMP UP Success",Other!$T$7,"Group",2,"SBU","Total SA","postingdate",VLOOKUP($B$2,myMonth,2,FALSE)),2)</f>
        <v>0</v>
      </c>
      <c r="Z44" s="276">
        <f>IFERROR(GETPIVOTDATA(" RP4+RAMP UP Failed",Other!$T$7,"Group",2,"SBU","Total SA","postingdate",VLOOKUP($B$2,myMonth,2,FALSE)),2)</f>
        <v>0</v>
      </c>
      <c r="AA44" s="277" t="str">
        <f t="shared" si="2"/>
        <v>NIL</v>
      </c>
      <c r="AB44" s="278">
        <f>GETPIVOTDATA(" RP4+RAMP UP Success",Other!$T$7,"Group",2,"SBU","Total SA")</f>
        <v>0</v>
      </c>
      <c r="AC44" s="279">
        <f>GETPIVOTDATA(" RP4+RAMP UP Failed",Other!$T$7,"Group",2,"SBU","Total SA")</f>
        <v>0</v>
      </c>
      <c r="AD44" s="277" t="str">
        <f t="shared" si="1"/>
        <v>NIL</v>
      </c>
    </row>
    <row r="45" spans="2:30" ht="15.75" thickBot="1">
      <c r="B45" s="776"/>
      <c r="C45" s="215" t="s">
        <v>77</v>
      </c>
      <c r="D45" s="187">
        <f t="shared" ref="D45:D49" si="18">D16</f>
        <v>4</v>
      </c>
      <c r="E45" s="188">
        <f>IFERROR(GETPIVOTDATA(" PSA Failed",Other!$T$7,"Group",2,"SBU","Total KE + HPC"),0)</f>
        <v>1</v>
      </c>
      <c r="F45" s="189">
        <f t="shared" si="5"/>
        <v>0.75</v>
      </c>
      <c r="G45" s="190">
        <f t="shared" ref="G45:G49" si="19">F16</f>
        <v>3</v>
      </c>
      <c r="H45" s="188">
        <f>IFERROR(GETPIVOTDATA(" Delayed",Other!$T$7,"Group",2,"SBU","Total KE + HPC"),0)</f>
        <v>1</v>
      </c>
      <c r="I45" s="189">
        <f t="shared" si="8"/>
        <v>0.66666666666666663</v>
      </c>
      <c r="J45" s="187">
        <f t="shared" ref="J45:J49" si="20">J5</f>
        <v>0</v>
      </c>
      <c r="K45" s="188">
        <f>IFERROR(GETPIVOTDATA(" RAMP UP Failed",Other!$T$7,"Group",2,"SBU","Total KE + HPC"),0)</f>
        <v>0</v>
      </c>
      <c r="L45" s="189" t="str">
        <f t="shared" si="11"/>
        <v>NIL</v>
      </c>
      <c r="M45" s="187">
        <f t="shared" ref="M45:M49" si="21">F16</f>
        <v>3</v>
      </c>
      <c r="N45" s="188">
        <f>IFERROR(GETPIVOTDATA(" Price Variance",Other!$T$7,"Group",2,"SBU","Total KE + HPC"),0)</f>
        <v>0</v>
      </c>
      <c r="O45" s="189">
        <f t="shared" si="14"/>
        <v>1</v>
      </c>
      <c r="P45" s="190">
        <f t="shared" ref="P45:P49" si="22">L16</f>
        <v>1</v>
      </c>
      <c r="Q45" s="188">
        <f>IFERROR(GETPIVOTDATA(" RP5 Closure Failed",Other!$T$7,"Group",2,"SBU","Total KE + HPC"),0)</f>
        <v>0</v>
      </c>
      <c r="R45" s="189">
        <f t="shared" si="17"/>
        <v>1</v>
      </c>
      <c r="W45" s="773"/>
      <c r="X45" s="280" t="s">
        <v>77</v>
      </c>
      <c r="Y45" s="281">
        <f>IFERROR(GETPIVOTDATA(" RP4+RAMP UP Success",Other!$T$7,"Group",2,"SBU","Total KE + HPC","postingdate",VLOOKUP($B$2,myMonth,2,FALSE)),2)</f>
        <v>0</v>
      </c>
      <c r="Z45" s="282">
        <f>IFERROR(GETPIVOTDATA(" RP4+RAMP UP Failed",Other!$T$7,"Group",2,"SBU","Total KE + HPC","postingdate",VLOOKUP($B$2,myMonth,2,FALSE)),2)</f>
        <v>1</v>
      </c>
      <c r="AA45" s="283" t="str">
        <f t="shared" si="2"/>
        <v>NIL</v>
      </c>
      <c r="AB45" s="284">
        <f>GETPIVOTDATA(" RP4+RAMP UP Success",Other!$T$7,"Group",2,"SBU","Total KE + HPC")</f>
        <v>3</v>
      </c>
      <c r="AC45" s="285">
        <f>GETPIVOTDATA(" RP4+RAMP UP Failed",Other!$T$7,"Group",2,"SBU","Total KE + HPC")</f>
        <v>3</v>
      </c>
      <c r="AD45" s="283">
        <f t="shared" si="1"/>
        <v>0</v>
      </c>
    </row>
    <row r="46" spans="2:30" ht="15.75" thickBot="1">
      <c r="B46" s="776"/>
      <c r="C46" s="186" t="s">
        <v>78</v>
      </c>
      <c r="D46" s="187">
        <f t="shared" si="18"/>
        <v>2</v>
      </c>
      <c r="E46" s="188">
        <f>IFERROR(GETPIVOTDATA(" PSA Failed",Other!$T$7,"Group",2,"SBU","Total KE"),0)</f>
        <v>0</v>
      </c>
      <c r="F46" s="189">
        <f t="shared" si="5"/>
        <v>1</v>
      </c>
      <c r="G46" s="190">
        <f t="shared" si="19"/>
        <v>1</v>
      </c>
      <c r="H46" s="188">
        <f>IFERROR(GETPIVOTDATA(" Delayed",Other!$T$7,"Group",2,"SBU","Total KE"),0)</f>
        <v>1</v>
      </c>
      <c r="I46" s="189">
        <f t="shared" si="8"/>
        <v>0</v>
      </c>
      <c r="J46" s="187">
        <f t="shared" si="20"/>
        <v>0</v>
      </c>
      <c r="K46" s="188">
        <f>IFERROR(GETPIVOTDATA(" RAMP UP Failed",Other!$T$7,"Group",2,"SBU","Total KE"),0)</f>
        <v>0</v>
      </c>
      <c r="L46" s="189" t="str">
        <f t="shared" si="11"/>
        <v>NIL</v>
      </c>
      <c r="M46" s="187">
        <f t="shared" si="21"/>
        <v>1</v>
      </c>
      <c r="N46" s="188">
        <f>IFERROR(GETPIVOTDATA(" Price Variance",Other!$T$7,"Group",2,"SBU","Total KE"),0)</f>
        <v>0</v>
      </c>
      <c r="O46" s="189">
        <f t="shared" si="14"/>
        <v>1</v>
      </c>
      <c r="P46" s="190">
        <f t="shared" si="22"/>
        <v>1</v>
      </c>
      <c r="Q46" s="188">
        <f>IFERROR(GETPIVOTDATA(" RP5 Closure Failed",Other!$T$7,"Group",2,"SBU","Total KE"),0)</f>
        <v>0</v>
      </c>
      <c r="R46" s="189">
        <f t="shared" si="17"/>
        <v>1</v>
      </c>
      <c r="W46" s="773"/>
      <c r="X46" s="219" t="s">
        <v>82</v>
      </c>
      <c r="Y46" s="231">
        <f>IFERROR(GETPIVOTDATA(" RP4+RAMP UP Success",Other!$AO$7,"rolename","Allen Team","postingdate",VLOOKUP($B$2,myMonth,2,FALSE)),2)</f>
        <v>0</v>
      </c>
      <c r="Z46" s="251">
        <f>GETPIVOTDATA(" RP4+RAMP UP Failed",Other!$AO$7,"rolename","Allen Team","postingdate",VLOOKUP($B$2,myMonth,2,FALSE))</f>
        <v>0</v>
      </c>
      <c r="AA46" s="252" t="str">
        <f t="shared" si="2"/>
        <v>NIL</v>
      </c>
      <c r="AB46" s="253">
        <f>IFERROR(GETPIVOTDATA(" RP4+RAMP UP Success",Other!$AO$7,"rolename","Allen Team"),0)</f>
        <v>1</v>
      </c>
      <c r="AC46" s="266">
        <f>IFERROR(GETPIVOTDATA(" RP4+RAMP UP Failed",Other!$AO$7,"rolename","Allen Team"),0)</f>
        <v>0</v>
      </c>
      <c r="AD46" s="254">
        <f t="shared" si="1"/>
        <v>1</v>
      </c>
    </row>
    <row r="47" spans="2:30" ht="15.75" thickBot="1">
      <c r="B47" s="776"/>
      <c r="C47" s="186" t="s">
        <v>79</v>
      </c>
      <c r="D47" s="187">
        <f t="shared" si="18"/>
        <v>2</v>
      </c>
      <c r="E47" s="188">
        <f>IFERROR(GETPIVOTDATA(" PSA Failed",Other!$T$7,"Group",2,"SBU","Total HPC"),0)</f>
        <v>1</v>
      </c>
      <c r="F47" s="189">
        <f t="shared" si="5"/>
        <v>0.5</v>
      </c>
      <c r="G47" s="190">
        <f t="shared" si="19"/>
        <v>2</v>
      </c>
      <c r="H47" s="188">
        <f>IFERROR(GETPIVOTDATA(" Delayed",Other!$T$7,"Group",2,"SBU","Total HPC"),0)</f>
        <v>0</v>
      </c>
      <c r="I47" s="189">
        <f t="shared" si="8"/>
        <v>1</v>
      </c>
      <c r="J47" s="187">
        <f t="shared" si="20"/>
        <v>0</v>
      </c>
      <c r="K47" s="188">
        <f>IFERROR(GETPIVOTDATA(" RAMP UP Failed",Other!$T$7,"Group",2,"SBU","Total HPC"),0)</f>
        <v>0</v>
      </c>
      <c r="L47" s="189" t="str">
        <f t="shared" si="11"/>
        <v>NIL</v>
      </c>
      <c r="M47" s="187">
        <f t="shared" si="21"/>
        <v>2</v>
      </c>
      <c r="N47" s="188">
        <f>IFERROR(GETPIVOTDATA(" Price Variance",Other!$T$7,"Group",2,"SBU","Total HPC"),0)</f>
        <v>0</v>
      </c>
      <c r="O47" s="189">
        <f t="shared" si="14"/>
        <v>1</v>
      </c>
      <c r="P47" s="190">
        <f t="shared" si="22"/>
        <v>0</v>
      </c>
      <c r="Q47" s="188">
        <f>IFERROR(GETPIVOTDATA(" RP5 Closure Failed",Other!$T$7,"Group",2,"SBU","Total HPC"),0)</f>
        <v>0</v>
      </c>
      <c r="R47" s="189" t="str">
        <f t="shared" si="17"/>
        <v>NIL</v>
      </c>
      <c r="W47" s="773"/>
      <c r="X47" s="218" t="s">
        <v>83</v>
      </c>
      <c r="Y47" s="232">
        <f>IFERROR(GETPIVOTDATA(" RP4+RAMP UP Success",Other!$AO$7,"rolename","BRENDA Team","postingdate",VLOOKUP($B$2,myMonth,2,FALSE)),2)</f>
        <v>0</v>
      </c>
      <c r="Z47" s="255">
        <f>GETPIVOTDATA(" RP4+RAMP UP Failed",Other!$AO$7,"rolename","BRENDA Team","postingdate",VLOOKUP($B$2,myMonth,2,FALSE))</f>
        <v>0</v>
      </c>
      <c r="AA47" s="256" t="str">
        <f t="shared" si="2"/>
        <v>NIL</v>
      </c>
      <c r="AB47" s="257">
        <f>IFERROR(GETPIVOTDATA(" RP4+RAMP UP Success",Other!$AO$7,"rolename","BRENDA Team"),0)</f>
        <v>0</v>
      </c>
      <c r="AC47" s="267">
        <f>IFERROR(GETPIVOTDATA(" RP4+RAMP UP Failed",Other!$AO$7,"rolename","BRENDA Team"),0)</f>
        <v>0</v>
      </c>
      <c r="AD47" s="259" t="str">
        <f t="shared" si="1"/>
        <v>NIL</v>
      </c>
    </row>
    <row r="48" spans="2:30" ht="15.75" thickBot="1">
      <c r="B48" s="776"/>
      <c r="C48" s="186" t="s">
        <v>80</v>
      </c>
      <c r="D48" s="187">
        <f t="shared" si="18"/>
        <v>4</v>
      </c>
      <c r="E48" s="188">
        <f>IFERROR(GETPIVOTDATA(" PSA Failed",Other!$T$7,"Group",2,"SBU","Total CW"),0)</f>
        <v>0</v>
      </c>
      <c r="F48" s="189">
        <f t="shared" si="5"/>
        <v>1</v>
      </c>
      <c r="G48" s="190">
        <f t="shared" si="19"/>
        <v>0</v>
      </c>
      <c r="H48" s="188">
        <f>IFERROR(GETPIVOTDATA(" Delayed",Other!$T$7,"Group",2,"SBU","Total CW"),0)</f>
        <v>0</v>
      </c>
      <c r="I48" s="189" t="str">
        <f t="shared" si="8"/>
        <v>NIL</v>
      </c>
      <c r="J48" s="187">
        <f t="shared" si="20"/>
        <v>0</v>
      </c>
      <c r="K48" s="188">
        <f>IFERROR(GETPIVOTDATA(" RAMP UP Failed",Other!$T$7,"Group",2,"SBU","Total CW"),0)</f>
        <v>0</v>
      </c>
      <c r="L48" s="189" t="str">
        <f t="shared" si="11"/>
        <v>NIL</v>
      </c>
      <c r="M48" s="187">
        <f t="shared" si="21"/>
        <v>0</v>
      </c>
      <c r="N48" s="188">
        <f>IFERROR(GETPIVOTDATA(" Price Variance",Other!$T$7,"Group",2,"SBU","Total CW"),0)</f>
        <v>0</v>
      </c>
      <c r="O48" s="189" t="str">
        <f t="shared" si="14"/>
        <v>NIL</v>
      </c>
      <c r="P48" s="190">
        <f t="shared" si="22"/>
        <v>0</v>
      </c>
      <c r="Q48" s="188">
        <f>IFERROR(GETPIVOTDATA(" RP5 Closure Failed",Other!$T$7,"Group",2,"SBU","Total CW"),0)</f>
        <v>0</v>
      </c>
      <c r="R48" s="189" t="str">
        <f t="shared" si="17"/>
        <v>NIL</v>
      </c>
      <c r="W48" s="773"/>
      <c r="X48" s="218" t="s">
        <v>84</v>
      </c>
      <c r="Y48" s="232">
        <f>IFERROR(GETPIVOTDATA(" RP4+RAMP UP Success",Other!$AO$7,"rolename","GARY Team","postingdate",VLOOKUP($B$2,myMonth,2,FALSE)),2)</f>
        <v>0</v>
      </c>
      <c r="Z48" s="255">
        <f>GETPIVOTDATA(" RP4+RAMP UP Failed",Other!$AO$7,"rolename","GARY Team","postingdate",VLOOKUP($B$2,myMonth,2,FALSE))</f>
        <v>0</v>
      </c>
      <c r="AA48" s="256" t="str">
        <f t="shared" si="2"/>
        <v>NIL</v>
      </c>
      <c r="AB48" s="257">
        <f>IFERROR(GETPIVOTDATA(" RP4+RAMP UP Success",Other!$AO$7,"rolename","GARY Team"),0)</f>
        <v>2</v>
      </c>
      <c r="AC48" s="258">
        <f>IFERROR(GETPIVOTDATA(" RP4+RAMP UP Failed",Other!$AO$7,"rolename","GARY Team"),0)</f>
        <v>0</v>
      </c>
      <c r="AD48" s="259">
        <f t="shared" si="1"/>
        <v>1</v>
      </c>
    </row>
    <row r="49" spans="2:30" ht="15.75" thickBot="1">
      <c r="B49" s="777"/>
      <c r="C49" s="191" t="s">
        <v>81</v>
      </c>
      <c r="D49" s="192">
        <f t="shared" si="18"/>
        <v>3</v>
      </c>
      <c r="E49" s="193">
        <f>IFERROR(GETPIVOTDATA(" PSA Failed",Other!$T$7,"Group",2,"SBU","Total SA"),0)</f>
        <v>0</v>
      </c>
      <c r="F49" s="194">
        <f t="shared" si="5"/>
        <v>1</v>
      </c>
      <c r="G49" s="195">
        <f t="shared" si="19"/>
        <v>3</v>
      </c>
      <c r="H49" s="193">
        <f>IFERROR(GETPIVOTDATA(" Delayed",Other!$T$7,"Group",2,"SBU","Total SA"),0)</f>
        <v>0</v>
      </c>
      <c r="I49" s="194">
        <f t="shared" si="8"/>
        <v>1</v>
      </c>
      <c r="J49" s="192">
        <f t="shared" si="20"/>
        <v>0</v>
      </c>
      <c r="K49" s="193">
        <f>IFERROR(GETPIVOTDATA(" RAMP UP Failed",Other!$T$7,"Group",2,"SBU","Total SA"),0)</f>
        <v>0</v>
      </c>
      <c r="L49" s="194" t="str">
        <f t="shared" si="11"/>
        <v>NIL</v>
      </c>
      <c r="M49" s="192">
        <f t="shared" si="21"/>
        <v>3</v>
      </c>
      <c r="N49" s="193">
        <f>IFERROR(GETPIVOTDATA(" Price Variance",Other!$T$7,"Group",2,"SBU","Total SA"),0)</f>
        <v>0</v>
      </c>
      <c r="O49" s="194">
        <f t="shared" si="14"/>
        <v>1</v>
      </c>
      <c r="P49" s="195">
        <f t="shared" si="22"/>
        <v>0</v>
      </c>
      <c r="Q49" s="193">
        <f>IFERROR(GETPIVOTDATA(" RP5 Closure Failed",Other!$T$7,"Group",2,"SBU","Total SA"),0)</f>
        <v>0</v>
      </c>
      <c r="R49" s="194" t="str">
        <f t="shared" si="17"/>
        <v>NIL</v>
      </c>
      <c r="W49" s="773"/>
      <c r="X49" s="218" t="s">
        <v>85</v>
      </c>
      <c r="Y49" s="232">
        <f>IFERROR(GETPIVOTDATA(" RP4+RAMP UP Success",Other!$AO$7,"rolename","JOEY Team","postingdate",VLOOKUP($B$2,myMonth,2,FALSE)),2)</f>
        <v>0</v>
      </c>
      <c r="Z49" s="255">
        <f>GETPIVOTDATA(" RP4+RAMP UP Failed",Other!$AO$7,"rolename","JOEY Team","postingdate",VLOOKUP($B$2,myMonth,2,FALSE))</f>
        <v>1</v>
      </c>
      <c r="AA49" s="256" t="str">
        <f t="shared" si="2"/>
        <v>NIL</v>
      </c>
      <c r="AB49" s="257">
        <f>IFERROR(GETPIVOTDATA(" RP4+RAMP UP Success",Other!$AO$7,"rolename","JOEY Team"),0)</f>
        <v>0</v>
      </c>
      <c r="AC49" s="267">
        <f>IFERROR(GETPIVOTDATA(" RP4+RAMP UP Failed",Other!$AO$7,"rolename","JOEY Team"),0)</f>
        <v>3</v>
      </c>
      <c r="AD49" s="259" t="str">
        <f t="shared" si="1"/>
        <v>NIL</v>
      </c>
    </row>
    <row r="50" spans="2:30" ht="15.75" thickBot="1">
      <c r="W50" s="774"/>
      <c r="X50" s="225" t="s">
        <v>86</v>
      </c>
      <c r="Y50" s="233">
        <f>IFERROR(GETPIVOTDATA(" RP4+RAMP UP Success",Other!$AO$7,"rolename","KARL Team","postingdate",VLOOKUP($B$2,myMonth,2,FALSE)),2)</f>
        <v>0</v>
      </c>
      <c r="Z50" s="260">
        <f>GETPIVOTDATA(" RP4+RAMP UP Failed",Other!$AO$7,"rolename","KARL Team","postingdate",VLOOKUP($B$2,myMonth,2,FALSE))</f>
        <v>0</v>
      </c>
      <c r="AA50" s="261" t="str">
        <f t="shared" si="2"/>
        <v>NIL</v>
      </c>
      <c r="AB50" s="262">
        <f>IFERROR(GETPIVOTDATA(" RP4+RAMP UP Success",Other!$AO$7,"rolename","KARL Team"),0)</f>
        <v>1</v>
      </c>
      <c r="AC50" s="286">
        <f>IFERROR(GETPIVOTDATA(" RP4+RAMP UP Failed",Other!$AO$7,"rolename","KARL Team"),0)</f>
        <v>0</v>
      </c>
      <c r="AD50" s="263">
        <f t="shared" si="1"/>
        <v>1</v>
      </c>
    </row>
    <row r="53" spans="2:30"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</row>
    <row r="54" spans="2:30" ht="15.75" thickBot="1"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</row>
    <row r="55" spans="2:30" ht="15.75" thickBot="1">
      <c r="B55" s="404"/>
      <c r="C55" s="404"/>
      <c r="D55" s="765" t="str">
        <f>CONCATENATE("Signed RP Check List by SBU in ",B3," (",B2,")")</f>
        <v>Signed RP Check List by SBU in 2015 (FEB)</v>
      </c>
      <c r="E55" s="766"/>
      <c r="F55" s="766"/>
      <c r="G55" s="766"/>
      <c r="H55" s="766"/>
      <c r="I55" s="766"/>
      <c r="J55" s="766"/>
      <c r="K55" s="766"/>
      <c r="L55" s="766"/>
      <c r="M55" s="767"/>
      <c r="N55" s="288"/>
      <c r="O55" s="288"/>
      <c r="P55" s="404"/>
      <c r="Q55" s="765" t="str">
        <f>CONCATENATE("Signed RP Check List by SBU in",B3," (",B2,")")</f>
        <v>Signed RP Check List by SBU in2015 (FEB)</v>
      </c>
      <c r="R55" s="766"/>
      <c r="S55" s="766"/>
      <c r="T55" s="766"/>
      <c r="U55" s="766"/>
      <c r="V55" s="766"/>
      <c r="W55" s="766"/>
      <c r="X55" s="766"/>
      <c r="Y55" s="766"/>
      <c r="Z55" s="766"/>
      <c r="AA55" s="766"/>
      <c r="AB55" s="767"/>
    </row>
    <row r="56" spans="2:30" ht="15.75" thickBot="1">
      <c r="B56" s="404"/>
      <c r="C56" s="404"/>
      <c r="D56" s="744" t="s">
        <v>6</v>
      </c>
      <c r="E56" s="743"/>
      <c r="F56" s="744" t="s">
        <v>7</v>
      </c>
      <c r="G56" s="754"/>
      <c r="H56" s="742" t="s">
        <v>52</v>
      </c>
      <c r="I56" s="743"/>
      <c r="J56" s="744" t="s">
        <v>10</v>
      </c>
      <c r="K56" s="743"/>
      <c r="L56" s="744" t="s">
        <v>157</v>
      </c>
      <c r="M56" s="754"/>
      <c r="N56" s="288"/>
      <c r="O56" s="288"/>
      <c r="P56" s="404"/>
      <c r="Q56" s="755" t="s">
        <v>5</v>
      </c>
      <c r="R56" s="756"/>
      <c r="S56" s="755" t="s">
        <v>6</v>
      </c>
      <c r="T56" s="756"/>
      <c r="U56" s="755" t="s">
        <v>7</v>
      </c>
      <c r="V56" s="756"/>
      <c r="W56" s="755" t="s">
        <v>52</v>
      </c>
      <c r="X56" s="756"/>
      <c r="Y56" s="744" t="s">
        <v>10</v>
      </c>
      <c r="Z56" s="754"/>
      <c r="AA56" s="742" t="s">
        <v>157</v>
      </c>
      <c r="AB56" s="754"/>
    </row>
    <row r="57" spans="2:30" ht="15.75" thickBot="1">
      <c r="B57" s="404"/>
      <c r="C57" s="404"/>
      <c r="D57" s="319" t="s">
        <v>63</v>
      </c>
      <c r="E57" s="341" t="s">
        <v>64</v>
      </c>
      <c r="F57" s="339" t="s">
        <v>63</v>
      </c>
      <c r="G57" s="340" t="s">
        <v>64</v>
      </c>
      <c r="H57" s="342" t="s">
        <v>63</v>
      </c>
      <c r="I57" s="343" t="s">
        <v>64</v>
      </c>
      <c r="J57" s="425" t="s">
        <v>63</v>
      </c>
      <c r="K57" s="430" t="s">
        <v>64</v>
      </c>
      <c r="L57" s="421" t="s">
        <v>63</v>
      </c>
      <c r="M57" s="417" t="s">
        <v>64</v>
      </c>
      <c r="N57" s="288"/>
      <c r="O57" s="288"/>
      <c r="P57" s="404"/>
      <c r="Q57" s="337" t="s">
        <v>63</v>
      </c>
      <c r="R57" s="338" t="s">
        <v>64</v>
      </c>
      <c r="S57" s="319" t="s">
        <v>63</v>
      </c>
      <c r="T57" s="320" t="s">
        <v>64</v>
      </c>
      <c r="U57" s="339" t="s">
        <v>63</v>
      </c>
      <c r="V57" s="340" t="s">
        <v>64</v>
      </c>
      <c r="W57" s="328" t="s">
        <v>63</v>
      </c>
      <c r="X57" s="328" t="s">
        <v>64</v>
      </c>
      <c r="Y57" s="329" t="s">
        <v>63</v>
      </c>
      <c r="Z57" s="420" t="s">
        <v>64</v>
      </c>
      <c r="AA57" s="421" t="s">
        <v>63</v>
      </c>
      <c r="AB57" s="417" t="s">
        <v>64</v>
      </c>
    </row>
    <row r="58" spans="2:30" ht="15.75" thickBot="1">
      <c r="B58" s="721" t="s">
        <v>16</v>
      </c>
      <c r="C58" s="311" t="s">
        <v>66</v>
      </c>
      <c r="D58" s="350">
        <f t="shared" ref="D58:M58" si="23">D4</f>
        <v>0</v>
      </c>
      <c r="E58" s="351">
        <f t="shared" si="23"/>
        <v>0</v>
      </c>
      <c r="F58" s="352">
        <f t="shared" si="23"/>
        <v>0</v>
      </c>
      <c r="G58" s="353">
        <f t="shared" si="23"/>
        <v>0</v>
      </c>
      <c r="H58" s="354">
        <f t="shared" si="23"/>
        <v>0</v>
      </c>
      <c r="I58" s="355">
        <f t="shared" si="23"/>
        <v>0</v>
      </c>
      <c r="J58" s="426">
        <f t="shared" si="23"/>
        <v>0</v>
      </c>
      <c r="K58" s="431">
        <f t="shared" si="23"/>
        <v>1</v>
      </c>
      <c r="L58" s="435">
        <f t="shared" si="23"/>
        <v>0</v>
      </c>
      <c r="M58" s="429">
        <f t="shared" si="23"/>
        <v>0</v>
      </c>
      <c r="N58" s="288"/>
      <c r="O58" s="721" t="s">
        <v>19</v>
      </c>
      <c r="P58" s="571" t="s">
        <v>66</v>
      </c>
      <c r="Q58" s="344">
        <f>IFERROR(GETPIVOTDATA("Project Phase",'YTD SBU'!$A$7,"Group",1,"SBU","EC","Project Type","PPSA","postingdate",VLOOKUP($B$2,myMonth,2,FALSE),"Project Phase","RP1"),0)</f>
        <v>0</v>
      </c>
      <c r="R58" s="345">
        <f>IFERROR(GETPIVOTDATA("Project Phase",'YTD SBU'!$A$7,"Group",1,"SBU","EC","Project Type","PPSA","Project Phase","RP1"),0)</f>
        <v>0</v>
      </c>
      <c r="S58" s="477">
        <f>IFERROR(GETPIVOTDATA("Project Phase",'YTD SBU'!$A$7,"Group",1,"SBU","EC","Project Type","PPSA","postingdate",VLOOKUP($B$2,myMonth,2,FALSE),"Project Phase","1. RP2"),0)</f>
        <v>0</v>
      </c>
      <c r="T58" s="478">
        <f>IFERROR(GETPIVOTDATA("Project Phase",'YTD SBU'!$A$7,"Group",1,"SBU","EC","Project Type","PPSA","Project Phase","1. RP2"),0)</f>
        <v>1</v>
      </c>
      <c r="U58" s="479">
        <f>IFERROR(GETPIVOTDATA("Project Phase",'YTD SBU'!$A$7,"Group",1,"SBU","EC","Project Type","PPSA","postingdate",VLOOKUP($B$2,myMonth,2,FALSE),"Project Phase","2. RP4"),0)</f>
        <v>0</v>
      </c>
      <c r="V58" s="480">
        <f>IFERROR(GETPIVOTDATA("Project Phase",'YTD SBU'!$A$7,"Group",1,"SBU","EC","Project Type","PPSA","Project Phase","2. RP4"),0)</f>
        <v>0</v>
      </c>
      <c r="W58" s="491">
        <f>IFERROR(GETPIVOTDATA("Project Phase",'YTD SBU'!$A$7,"Group",1,"SBU","EC","Project Type","PPSA","postingdate",VLOOKUP($B$2,myMonth,2,FALSE),"Project Phase","3. PSA/RRA"),0)</f>
        <v>0</v>
      </c>
      <c r="X58" s="495">
        <f>IFERROR(GETPIVOTDATA("Project Phase",'YTD SBU'!$A$7,"Group",1,"SBU","EC","Project Type","PPSA","Project Phase","3. PSA/RRA"),0)</f>
        <v>0</v>
      </c>
      <c r="Y58" s="481">
        <f>IFERROR(GETPIVOTDATA("Project Phase",'YTD SBU'!$A$7,"Group",1,"SBU","EC","Project Type","PPSA","postingdate",VLOOKUP($B$2,myMonth,2,FALSE),"Project Phase","4. RAMP UP"),0)</f>
        <v>0</v>
      </c>
      <c r="Z58" s="493">
        <f>IFERROR(GETPIVOTDATA("Project Phase",'YTD SBU'!$A$7,"Group",1,"SBU","EC","Project Type","PPSA","Project Phase","4. RAMP UP"),0)</f>
        <v>0</v>
      </c>
      <c r="AA58" s="482">
        <f>IFERROR(GETPIVOTDATA("Project Phase",'YTD SBU'!$A$7,"Group",1,"SBU","EC","Project Type","PPSA","postingdate",VLOOKUP($B$2,myMonth,2,FALSE),"Project Phase","5. RP5 Closure"),0)</f>
        <v>0</v>
      </c>
      <c r="AB58" s="483">
        <f>IFERROR(GETPIVOTDATA("Project Phase",'YTD SBU'!$A$7,"Group",1,"SBU","EC","Project Type","PPSA","Project Phase","5. RP5 Closure"),0)</f>
        <v>0</v>
      </c>
    </row>
    <row r="59" spans="2:30" ht="15.75" thickBot="1">
      <c r="B59" s="722"/>
      <c r="C59" s="295" t="s">
        <v>67</v>
      </c>
      <c r="D59" s="358">
        <f t="shared" ref="D59:G66" si="24">D5</f>
        <v>0</v>
      </c>
      <c r="E59" s="364">
        <f t="shared" si="24"/>
        <v>1</v>
      </c>
      <c r="F59" s="336">
        <f t="shared" si="24"/>
        <v>0</v>
      </c>
      <c r="G59" s="360">
        <f t="shared" si="24"/>
        <v>1</v>
      </c>
      <c r="H59" s="365">
        <f t="shared" ref="H59:I59" si="25">H5</f>
        <v>0</v>
      </c>
      <c r="I59" s="366">
        <f t="shared" si="25"/>
        <v>2</v>
      </c>
      <c r="J59" s="427">
        <f t="shared" ref="J59:K59" si="26">J5</f>
        <v>0</v>
      </c>
      <c r="K59" s="432">
        <f t="shared" si="26"/>
        <v>0</v>
      </c>
      <c r="L59" s="361">
        <f t="shared" ref="L59:M59" si="27">L5</f>
        <v>0</v>
      </c>
      <c r="M59" s="419">
        <f t="shared" si="27"/>
        <v>0</v>
      </c>
      <c r="N59" s="288"/>
      <c r="O59" s="722"/>
      <c r="P59" s="572" t="s">
        <v>67</v>
      </c>
      <c r="Q59" s="356">
        <f>IFERROR(GETPIVOTDATA("Project Phase",'YTD SBU'!$A$7,"Group",1,"SBU","FP","Project Type","PPSA","postingdate",VLOOKUP($B$2,myMonth,2,FALSE),"Project Phase","RP1"),0)</f>
        <v>0</v>
      </c>
      <c r="R59" s="357">
        <f>IFERROR(GETPIVOTDATA("Project Phase",'YTD SBU'!$A$7,"Group",1,"SBU","FP","Project Type","PPSA","Project Phase","RP1"),0)</f>
        <v>1</v>
      </c>
      <c r="S59" s="484">
        <f>IFERROR(GETPIVOTDATA("Project Phase",'YTD SBU'!$A$7,"Group",1,"SBU","FP","Project Type","PPSA","postingdate",VLOOKUP($B$2,myMonth,2,FALSE),"Project Phase","1. RP2"),0)</f>
        <v>1</v>
      </c>
      <c r="T59" s="485">
        <f>IFERROR(GETPIVOTDATA("Project Phase",'YTD SBU'!$A$7,"Group",1,"SBU","FP","Project Type","PPSA","Project Phase","1. RP2"),0)</f>
        <v>1</v>
      </c>
      <c r="U59" s="486">
        <f>IFERROR(GETPIVOTDATA("Project Phase",'YTD SBU'!$A$7,"Group",1,"SBU","FP","Project Type","PPSA","postingdate",VLOOKUP($B$2,myMonth,2,FALSE),"Project Phase","2. RP4"),0)</f>
        <v>0</v>
      </c>
      <c r="V59" s="487">
        <f>IFERROR(GETPIVOTDATA("Project Phase",'YTD SBU'!$A$7,"Group",1,"SBU","FP","Project Type","PPSA","Project Phase","2. RP4"),0)</f>
        <v>0</v>
      </c>
      <c r="W59" s="492">
        <f>IFERROR(GETPIVOTDATA("Project Phase",'YTD SBU'!$A$7,"Group",1,"SBU","FP","Project Type","PPSA","postingdate",VLOOKUP($B$2,myMonth,2,FALSE),"Project Phase","3. PSA/RRA"),0)</f>
        <v>0</v>
      </c>
      <c r="X59" s="496">
        <f>IFERROR(GETPIVOTDATA("Project Phase",'YTD SBU'!$A$7,"Group",1,"SBU","FP","Project Type","PPSA","Project Phase","3. PSA/RRA"),0)</f>
        <v>0</v>
      </c>
      <c r="Y59" s="488">
        <f>IFERROR(GETPIVOTDATA("Project Phase",'YTD SBU'!$A$7,"Group",1,"SBU","FP","Project Type","PPSA","postingdate",VLOOKUP($B$2,myMonth,2,FALSE),"Project Phase","4. RAMP UP"),0)</f>
        <v>0</v>
      </c>
      <c r="Z59" s="494">
        <f>IFERROR(GETPIVOTDATA("Project Phase",'YTD SBU'!$A$7,"Group",1,"SBU","FP","Project Type","PPSA","Project Phase","4. RAMP UP"),0)</f>
        <v>1</v>
      </c>
      <c r="AA59" s="489">
        <f>IFERROR(GETPIVOTDATA("Project Phase",'YTD SBU'!$A$7,"Group",1,"SBU","FP","Project Type","PPSA","postingdate",VLOOKUP($B$2,myMonth,2,FALSE),"Project Phase","5. RP5 Closure"),0)</f>
        <v>0</v>
      </c>
      <c r="AB59" s="490">
        <f>IFERROR(GETPIVOTDATA("Project Phase",'YTD SBU'!$A$7,"Group",1,"SBU","FP","Project Type","PPSA","Project Phase","5. RP5 Closure"),0)</f>
        <v>0</v>
      </c>
    </row>
    <row r="60" spans="2:30" ht="15.75" thickBot="1">
      <c r="B60" s="722"/>
      <c r="C60" s="295" t="s">
        <v>68</v>
      </c>
      <c r="D60" s="358">
        <f t="shared" si="24"/>
        <v>1</v>
      </c>
      <c r="E60" s="364">
        <f t="shared" si="24"/>
        <v>1</v>
      </c>
      <c r="F60" s="336">
        <f t="shared" si="24"/>
        <v>0</v>
      </c>
      <c r="G60" s="360">
        <f t="shared" si="24"/>
        <v>0</v>
      </c>
      <c r="H60" s="365">
        <f t="shared" ref="H60:I60" si="28">H6</f>
        <v>0</v>
      </c>
      <c r="I60" s="366">
        <f t="shared" si="28"/>
        <v>0</v>
      </c>
      <c r="J60" s="427">
        <f t="shared" ref="J60:K60" si="29">J6</f>
        <v>0</v>
      </c>
      <c r="K60" s="432">
        <f t="shared" si="29"/>
        <v>0</v>
      </c>
      <c r="L60" s="361">
        <f t="shared" ref="L60:M60" si="30">L6</f>
        <v>1</v>
      </c>
      <c r="M60" s="419">
        <f t="shared" si="30"/>
        <v>1</v>
      </c>
      <c r="N60" s="288"/>
      <c r="O60" s="722"/>
      <c r="P60" s="572" t="s">
        <v>68</v>
      </c>
      <c r="Q60" s="356">
        <f>IFERROR(GETPIVOTDATA("Project Phase",'YTD SBU'!$A$7,"Group",1,"SBU","BnB","Project Type","PPSA","postingdate",VLOOKUP($B$2,myMonth,2,FALSE),"Project Phase","RP1"),0)</f>
        <v>0</v>
      </c>
      <c r="R60" s="357">
        <f>IFERROR(GETPIVOTDATA("Project Phase",'YTD SBU'!$A$7,"Group",1,"SBU","BnB","Project Type","PPSA","Project Phase","RP1"),0)</f>
        <v>0</v>
      </c>
      <c r="S60" s="484">
        <f>IFERROR(GETPIVOTDATA("Project Phase",'YTD SBU'!$A$7,"Group",1,"SBU","BnB","Project Type","PPSA","postingdate",VLOOKUP($B$2,myMonth,2,FALSE),"Project Phase","1. RP2"),0)</f>
        <v>0</v>
      </c>
      <c r="T60" s="485">
        <f>IFERROR(GETPIVOTDATA("Project Phase",'YTD SBU'!$A$7,"Group",1,"SBU","BnB","Project Type","PPSA","Project Phase","1. RP2"),0)</f>
        <v>0</v>
      </c>
      <c r="U60" s="486">
        <f>IFERROR(GETPIVOTDATA("Project Phase",'YTD SBU'!$A$7,"Group",1,"SBU","BnB","Project Type","PPSA","postingdate",VLOOKUP($B$2,myMonth,2,FALSE),"Project Phase","2. RP4"),0)</f>
        <v>1</v>
      </c>
      <c r="V60" s="487">
        <f>IFERROR(GETPIVOTDATA("Project Phase",'YTD SBU'!$A$7,"Group",1,"SBU","BnB","Project Type","PPSA","Project Phase","2. RP4"),0)</f>
        <v>2</v>
      </c>
      <c r="W60" s="492">
        <f>IFERROR(GETPIVOTDATA("Project Phase",'YTD SBU'!$A$7,"Group",1,"SBU","BnB","Project Type","PPSA","postingdate",VLOOKUP($B$2,myMonth,2,FALSE),"Project Phase","3. PSA/RRA"),0)</f>
        <v>1</v>
      </c>
      <c r="X60" s="496">
        <f>IFERROR(GETPIVOTDATA("Project Phase",'YTD SBU'!$A$7,"Group",1,"SBU","BnB","Project Type","PPSA","Project Phase","3. PSA/RRA"),0)</f>
        <v>1</v>
      </c>
      <c r="Y60" s="488">
        <f>IFERROR(GETPIVOTDATA("Project Phase",'YTD SBU'!$A$7,"Group",1,"SBU","BnB","Project Type","PPSA","postingdate",VLOOKUP($B$2,myMonth,2,FALSE),"Project Phase","4. RAMP UP"),0)</f>
        <v>1</v>
      </c>
      <c r="Z60" s="494">
        <f>IFERROR(GETPIVOTDATA("Project Phase",'YTD SBU'!$A$7,"Group",1,"SBU","BnB","Project Type","PPSA","Project Phase","4. RAMP UP"),0)</f>
        <v>3</v>
      </c>
      <c r="AA60" s="489">
        <f>IFERROR(GETPIVOTDATA("Project Phase",'YTD SBU'!$A$7,"Group",1,"SBU","BnB","Project Type","PPSA","postingdate",VLOOKUP($B$2,myMonth,2,FALSE),"Project Phase","5. RP5 Closure"),0)</f>
        <v>0</v>
      </c>
      <c r="AB60" s="490">
        <f>IFERROR(GETPIVOTDATA("Project Phase",'YTD SBU'!$A$7,"Group",1,"SBU","BnB","Project Type","PPSA","Project Phase","5. RP5 Closure"),0)</f>
        <v>0</v>
      </c>
    </row>
    <row r="61" spans="2:30" ht="15.75" thickBot="1">
      <c r="B61" s="722"/>
      <c r="C61" s="295" t="s">
        <v>69</v>
      </c>
      <c r="D61" s="358">
        <f t="shared" si="24"/>
        <v>0</v>
      </c>
      <c r="E61" s="364">
        <f t="shared" si="24"/>
        <v>4</v>
      </c>
      <c r="F61" s="336">
        <f t="shared" si="24"/>
        <v>2</v>
      </c>
      <c r="G61" s="360">
        <f t="shared" si="24"/>
        <v>2</v>
      </c>
      <c r="H61" s="365">
        <f t="shared" ref="H61:I61" si="31">H7</f>
        <v>0</v>
      </c>
      <c r="I61" s="366">
        <f t="shared" si="31"/>
        <v>3</v>
      </c>
      <c r="J61" s="427">
        <f t="shared" ref="J61:K61" si="32">J7</f>
        <v>0</v>
      </c>
      <c r="K61" s="432">
        <f t="shared" si="32"/>
        <v>1</v>
      </c>
      <c r="L61" s="361">
        <f t="shared" ref="L61:M61" si="33">L7</f>
        <v>0</v>
      </c>
      <c r="M61" s="419">
        <f t="shared" si="33"/>
        <v>0</v>
      </c>
      <c r="N61" s="288"/>
      <c r="O61" s="722"/>
      <c r="P61" s="572" t="s">
        <v>69</v>
      </c>
      <c r="Q61" s="356">
        <f>IFERROR(GETPIVOTDATA("Project Phase",'YTD SBU'!$A$7,"Group",1,"SBU","PC","Project Type","PPSA","postingdate",VLOOKUP($B$2,myMonth,2,FALSE),"Project Phase","RP1"),0)</f>
        <v>0</v>
      </c>
      <c r="R61" s="357">
        <f>IFERROR(GETPIVOTDATA("Project Phase",'YTD SBU'!$A$7,"Group",1,"SBU","PC","Project Type","PPSA","Project Phase","RP1"),0)</f>
        <v>0</v>
      </c>
      <c r="S61" s="484">
        <f>IFERROR(GETPIVOTDATA("Project Phase",'YTD SBU'!$A$7,"Group",1,"SBU","PC","Project Type","PPSA","postingdate",VLOOKUP($B$2,myMonth,2,FALSE),"Project Phase","1. RP2"),0)</f>
        <v>0</v>
      </c>
      <c r="T61" s="485">
        <f>IFERROR(GETPIVOTDATA("Project Phase",'YTD SBU'!$A$7,"Group",1,"SBU","PC","Project Type","PPSA","Project Phase","1. RP2"),0)</f>
        <v>1</v>
      </c>
      <c r="U61" s="486">
        <f>IFERROR(GETPIVOTDATA("Project Phase",'YTD SBU'!$A$7,"Group",1,"SBU","PC","Project Type","PPSA","postingdate",VLOOKUP($B$2,myMonth,2,FALSE),"Project Phase","2. RP4"),0)</f>
        <v>0</v>
      </c>
      <c r="V61" s="487">
        <f>IFERROR(GETPIVOTDATA("Project Phase",'YTD SBU'!$A$7,"Group",1,"SBU","PC","Project Type","PPSA","Project Phase","2. RP4"),0)</f>
        <v>1</v>
      </c>
      <c r="W61" s="492">
        <f>IFERROR(GETPIVOTDATA("Project Phase",'YTD SBU'!$A$7,"Group",1,"SBU","PC","Project Type","PPSA","postingdate",VLOOKUP($B$2,myMonth,2,FALSE),"Project Phase","3. PSA/RRA"),0)</f>
        <v>0</v>
      </c>
      <c r="X61" s="496">
        <f>IFERROR(GETPIVOTDATA("Project Phase",'YTD SBU'!$A$7,"Group",1,"SBU","PC","Project Type","PPSA","Project Phase","3. PSA/RRA"),0)</f>
        <v>2</v>
      </c>
      <c r="Y61" s="488">
        <f>IFERROR(GETPIVOTDATA("Project Phase",'YTD SBU'!$A$7,"Group",1,"SBU","PC","Project Type","PPSA","postingdate",VLOOKUP($B$2,myMonth,2,FALSE),"Project Phase","4. RAMP UP"),0)</f>
        <v>1</v>
      </c>
      <c r="Z61" s="494">
        <f>IFERROR(GETPIVOTDATA("Project Phase",'YTD SBU'!$A$7,"Group",1,"SBU","PC","Project Type","PPSA","Project Phase","4. RAMP UP"),0)</f>
        <v>1</v>
      </c>
      <c r="AA61" s="489">
        <f>IFERROR(GETPIVOTDATA("Project Phase",'YTD SBU'!$A$7,"Group",1,"SBU","PC","Project Type","PPSA","postingdate",VLOOKUP($B$2,myMonth,2,FALSE),"Project Phase","5. RP5 Closure"),0)</f>
        <v>0</v>
      </c>
      <c r="AB61" s="490">
        <f>IFERROR(GETPIVOTDATA("Project Phase",'YTD SBU'!$A$7,"Group",1,"SBU","PC","Project Type","PPSA","Project Phase","5. RP5 Closure"),0)</f>
        <v>0</v>
      </c>
    </row>
    <row r="62" spans="2:30" ht="15.75" thickBot="1">
      <c r="B62" s="722"/>
      <c r="C62" s="295" t="s">
        <v>70</v>
      </c>
      <c r="D62" s="358">
        <f t="shared" si="24"/>
        <v>0</v>
      </c>
      <c r="E62" s="364">
        <f t="shared" si="24"/>
        <v>0</v>
      </c>
      <c r="F62" s="336">
        <f t="shared" si="24"/>
        <v>0</v>
      </c>
      <c r="G62" s="360">
        <f t="shared" si="24"/>
        <v>0</v>
      </c>
      <c r="H62" s="365">
        <f t="shared" ref="H62:I62" si="34">H8</f>
        <v>0</v>
      </c>
      <c r="I62" s="366">
        <f t="shared" si="34"/>
        <v>0</v>
      </c>
      <c r="J62" s="427">
        <f t="shared" ref="J62:K62" si="35">J8</f>
        <v>0</v>
      </c>
      <c r="K62" s="432">
        <f t="shared" si="35"/>
        <v>0</v>
      </c>
      <c r="L62" s="361">
        <f t="shared" ref="L62:M62" si="36">L8</f>
        <v>0</v>
      </c>
      <c r="M62" s="419">
        <f t="shared" si="36"/>
        <v>0</v>
      </c>
      <c r="N62" s="288"/>
      <c r="O62" s="722"/>
      <c r="P62" s="572" t="s">
        <v>70</v>
      </c>
      <c r="Q62" s="356">
        <f>IFERROR(GETPIVOTDATA("Project Phase",'YTD SBU'!$A$7,"Group",1,"SBU","LC","Project Type","PPSA","postingdate",VLOOKUP($B$2,myMonth,2,FALSE),"Project Phase","RP1"),0)</f>
        <v>0</v>
      </c>
      <c r="R62" s="357">
        <f>IFERROR(GETPIVOTDATA("Project Phase",'YTD SBU'!$A$7,"Group",1,"SBU","LC","Project Type","PPSA","Project Phase","RP1"),0)</f>
        <v>0</v>
      </c>
      <c r="S62" s="484">
        <f>IFERROR(GETPIVOTDATA("Project Phase",'YTD SBU'!$A$7,"Group",1,"SBU","LC","Project Type","PPSA","postingdate",VLOOKUP($B$2,myMonth,2,FALSE),"Project Phase","1. RP2"),0)</f>
        <v>0</v>
      </c>
      <c r="T62" s="485">
        <f>IFERROR(GETPIVOTDATA("Project Phase",'YTD SBU'!$A$7,"Group",1,"SBU","LC","Project Type","PPSA","Project Phase","1. RP2"),0)</f>
        <v>1</v>
      </c>
      <c r="U62" s="486">
        <f>IFERROR(GETPIVOTDATA("Project Phase",'YTD SBU'!$A$7,"Group",1,"SBU","LC","Project Type","PPSA","postingdate",VLOOKUP($B$2,myMonth,2,FALSE),"Project Phase","2. RP4"),0)</f>
        <v>0</v>
      </c>
      <c r="V62" s="487">
        <f>IFERROR(GETPIVOTDATA("Project Phase",'YTD SBU'!$A$7,"Group",1,"SBU","LC","Project Type","PPSA","Project Phase","2. RP4"),0)</f>
        <v>0</v>
      </c>
      <c r="W62" s="492">
        <f>IFERROR(GETPIVOTDATA("Project Phase",'YTD SBU'!$A$7,"Group",1,"SBU","LC","Project Type","PPSA","postingdate",VLOOKUP($B$2,myMonth,2,FALSE),"Project Phase","3. PSA/RRA"),0)</f>
        <v>0</v>
      </c>
      <c r="X62" s="496">
        <f>IFERROR(GETPIVOTDATA("Project Phase",'YTD SBU'!$A$7,"Group",1,"SBU","LC","Project Type","PPSA","Project Phase","3. PSA/RRA"),0)</f>
        <v>0</v>
      </c>
      <c r="Y62" s="488">
        <f>IFERROR(GETPIVOTDATA("Project Phase",'YTD SBU'!$A$7,"Group",1,"SBU","LC","Project Type","PPSA","postingdate",VLOOKUP($B$2,myMonth,2,FALSE),"Project Phase","4. RAMP UP"),0)</f>
        <v>0</v>
      </c>
      <c r="Z62" s="494">
        <f>IFERROR(GETPIVOTDATA("Project Phase",'YTD SBU'!$A$7,"Group",1,"SBU","LC","Project Type","PPSA","Project Phase","4. RAMP UP"),0)</f>
        <v>0</v>
      </c>
      <c r="AA62" s="489">
        <f>IFERROR(GETPIVOTDATA("Project Phase",'YTD SBU'!$A$7,"Group",1,"SBU","LC","Project Type","PPSA","postingdate",VLOOKUP($B$2,myMonth,2,FALSE),"Project Phase","5. RP5 Closure"),0)</f>
        <v>0</v>
      </c>
      <c r="AB62" s="490">
        <f>IFERROR(GETPIVOTDATA("Project Phase",'YTD SBU'!$A$7,"Group",1,"SBU","LC","Project Type","PPSA","Project Phase","5. RP5 Closure"),0)</f>
        <v>0</v>
      </c>
    </row>
    <row r="63" spans="2:30" ht="15.75" thickBot="1">
      <c r="B63" s="722"/>
      <c r="C63" s="295" t="s">
        <v>71</v>
      </c>
      <c r="D63" s="358">
        <f t="shared" si="24"/>
        <v>1</v>
      </c>
      <c r="E63" s="364">
        <f t="shared" si="24"/>
        <v>3</v>
      </c>
      <c r="F63" s="336">
        <f t="shared" si="24"/>
        <v>0</v>
      </c>
      <c r="G63" s="360">
        <f t="shared" si="24"/>
        <v>0</v>
      </c>
      <c r="H63" s="365">
        <f t="shared" ref="H63:I63" si="37">H9</f>
        <v>0</v>
      </c>
      <c r="I63" s="366">
        <f t="shared" si="37"/>
        <v>0</v>
      </c>
      <c r="J63" s="427">
        <f t="shared" ref="J63:K63" si="38">J9</f>
        <v>0</v>
      </c>
      <c r="K63" s="432">
        <f t="shared" si="38"/>
        <v>0</v>
      </c>
      <c r="L63" s="361">
        <f t="shared" ref="L63:M63" si="39">L9</f>
        <v>0</v>
      </c>
      <c r="M63" s="419">
        <f t="shared" si="39"/>
        <v>0</v>
      </c>
      <c r="N63" s="288"/>
      <c r="O63" s="722"/>
      <c r="P63" s="572" t="s">
        <v>71</v>
      </c>
      <c r="Q63" s="356">
        <f>IFERROR(GETPIVOTDATA("Project Phase",'YTD SBU'!$A$7,"Group",1,"SBU","H.Comf","Project Type","PPSA","postingdate",VLOOKUP($B$2,myMonth,2,FALSE),"Project Phase","RP1"),0)</f>
        <v>0</v>
      </c>
      <c r="R63" s="357">
        <f>IFERROR(GETPIVOTDATA("Project Phase",'YTD SBU'!$A$7,"Group",1,"SBU","H.Comf","Project Type","PPSA","Project Phase","RP1"),0)</f>
        <v>0</v>
      </c>
      <c r="S63" s="484">
        <f>IFERROR(GETPIVOTDATA("Project Phase",'YTD SBU'!$A$7,"Group",1,"SBU","H.Comf","Project Type","PPSA","postingdate",VLOOKUP($B$2,myMonth,2,FALSE),"Project Phase","1. RP2"),0)</f>
        <v>0</v>
      </c>
      <c r="T63" s="485">
        <f>IFERROR(GETPIVOTDATA("Project Phase",'YTD SBU'!$A$7,"Group",1,"SBU","H.Comf","Project Type","PPSA","Project Phase","1. RP2"),0)</f>
        <v>0</v>
      </c>
      <c r="U63" s="486">
        <f>IFERROR(GETPIVOTDATA("Project Phase",'YTD SBU'!$A$7,"Group",1,"SBU","H.Comf","Project Type","PPSA","postingdate",VLOOKUP($B$2,myMonth,2,FALSE),"Project Phase","2. RP4"),0)</f>
        <v>0</v>
      </c>
      <c r="V63" s="487">
        <f>IFERROR(GETPIVOTDATA("Project Phase",'YTD SBU'!$A$7,"Group",1,"SBU","H.Comf","Project Type","PPSA","Project Phase","2. RP4"),0)</f>
        <v>0</v>
      </c>
      <c r="W63" s="492">
        <f>IFERROR(GETPIVOTDATA("Project Phase",'YTD SBU'!$A$7,"Group",1,"SBU","H.Comf","Project Type","PPSA","postingdate",VLOOKUP($B$2,myMonth,2,FALSE),"Project Phase","3. PSA/RRA"),0)</f>
        <v>0</v>
      </c>
      <c r="X63" s="496">
        <f>IFERROR(GETPIVOTDATA("Project Phase",'YTD SBU'!$A$7,"Group",1,"SBU","H.Comf","Project Type","PPSA","Project Phase","3. PSA/RRA"),0)</f>
        <v>0</v>
      </c>
      <c r="Y63" s="488">
        <f>IFERROR(GETPIVOTDATA("Project Phase",'YTD SBU'!$A$7,"Group",1,"SBU","H.Comf","Project Type","PPSA","postingdate",VLOOKUP($B$2,myMonth,2,FALSE),"Project Phase","4. RAMP UP"),0)</f>
        <v>0</v>
      </c>
      <c r="Z63" s="494">
        <f>IFERROR(GETPIVOTDATA("Project Phase",'YTD SBU'!$A$7,"Group",1,"SBU","H.Comf","Project Type","PPSA","Project Phase","4. RAMP UP"),0)</f>
        <v>0</v>
      </c>
      <c r="AA63" s="489">
        <f>IFERROR(GETPIVOTDATA("Project Phase",'YTD SBU'!$A$7,"Group",1,"SBU","H.Comf","Project Type","PPSA","postingdate",VLOOKUP($B$2,myMonth,2,FALSE),"Project Phase","5. RP5 Closure"),0)</f>
        <v>0</v>
      </c>
      <c r="AB63" s="490">
        <f>IFERROR(GETPIVOTDATA("Project Phase",'YTD SBU'!$A$7,"Group",1,"SBU","H.Comf","Project Type","PPSA","Project Phase","5. RP5 Closure"),0)</f>
        <v>0</v>
      </c>
    </row>
    <row r="64" spans="2:30" ht="15.75" thickBot="1">
      <c r="B64" s="722"/>
      <c r="C64" s="295" t="s">
        <v>72</v>
      </c>
      <c r="D64" s="358">
        <f t="shared" si="24"/>
        <v>1</v>
      </c>
      <c r="E64" s="364">
        <f t="shared" si="24"/>
        <v>2</v>
      </c>
      <c r="F64" s="336">
        <f t="shared" si="24"/>
        <v>0</v>
      </c>
      <c r="G64" s="360">
        <f t="shared" si="24"/>
        <v>0</v>
      </c>
      <c r="H64" s="365">
        <f t="shared" ref="H64:I64" si="40">H10</f>
        <v>0</v>
      </c>
      <c r="I64" s="366">
        <f t="shared" si="40"/>
        <v>0</v>
      </c>
      <c r="J64" s="427">
        <f t="shared" ref="J64:K64" si="41">J10</f>
        <v>0</v>
      </c>
      <c r="K64" s="432">
        <f t="shared" si="41"/>
        <v>0</v>
      </c>
      <c r="L64" s="361">
        <f t="shared" ref="L64:M64" si="42">L10</f>
        <v>0</v>
      </c>
      <c r="M64" s="419">
        <f t="shared" si="42"/>
        <v>4</v>
      </c>
      <c r="N64" s="288"/>
      <c r="O64" s="722"/>
      <c r="P64" s="572" t="s">
        <v>72</v>
      </c>
      <c r="Q64" s="356">
        <f>IFERROR(GETPIVOTDATA("Project Phase",'YTD SBU'!$A$7,"Group",1,"SBU","H.Clean","Project Type","PPSA","postingdate",VLOOKUP($B$2,myMonth,2,FALSE),"Project Phase","RP1"),0)</f>
        <v>0</v>
      </c>
      <c r="R64" s="357">
        <f>IFERROR(GETPIVOTDATA("Project Phase",'YTD SBU'!$A$7,"Group",1,"SBU","H.Clean","Project Type","PPSA","Project Phase","RP1"),0)</f>
        <v>0</v>
      </c>
      <c r="S64" s="484">
        <f>IFERROR(GETPIVOTDATA("Project Phase",'YTD SBU'!$A$7,"Group",1,"SBU","H.Clean","Project Type","PPSA","postingdate",VLOOKUP($B$2,myMonth,2,FALSE),"Project Phase","1. RP2"),0)</f>
        <v>0</v>
      </c>
      <c r="T64" s="485">
        <f>IFERROR(GETPIVOTDATA("Project Phase",'YTD SBU'!$A$7,"Group",1,"SBU","H.Clean","Project Type","PPSA","Project Phase","1. RP2"),0)</f>
        <v>0</v>
      </c>
      <c r="U64" s="486">
        <f>IFERROR(GETPIVOTDATA("Project Phase",'YTD SBU'!$A$7,"Group",1,"SBU","H.Clean","Project Type","PPSA","postingdate",VLOOKUP($B$2,myMonth,2,FALSE),"Project Phase","2. RP4"),0)</f>
        <v>0</v>
      </c>
      <c r="V64" s="487">
        <f>IFERROR(GETPIVOTDATA("Project Phase",'YTD SBU'!$A$7,"Group",1,"SBU","H.Clean","Project Type","PPSA","Project Phase","2. RP4"),0)</f>
        <v>0</v>
      </c>
      <c r="W64" s="492">
        <f>IFERROR(GETPIVOTDATA("Project Phase",'YTD SBU'!$A$7,"Group",1,"SBU","H.Clean","Project Type","PPSA","postingdate",VLOOKUP($B$2,myMonth,2,FALSE),"Project Phase","3. PSA/RRA"),0)</f>
        <v>0</v>
      </c>
      <c r="X64" s="496">
        <f>IFERROR(GETPIVOTDATA("Project Phase",'YTD SBU'!$A$7,"Group",1,"SBU","H.Clean","Project Type","PPSA","Project Phase","3. PSA/RRA"),0)</f>
        <v>0</v>
      </c>
      <c r="Y64" s="488">
        <f>IFERROR(GETPIVOTDATA("Project Phase",'YTD SBU'!$A$7,"Group",1,"SBU","H.Clean","Project Type","PPSA","postingdate",VLOOKUP($B$2,myMonth,2,FALSE),"Project Phase","4. RAMP UP"),0)</f>
        <v>0</v>
      </c>
      <c r="Z64" s="494">
        <f>IFERROR(GETPIVOTDATA("Project Phase",'YTD SBU'!$A$7,"Group",1,"SBU","H.Clean","Project Type","PPSA","Project Phase","4. RAMP UP"),0)</f>
        <v>0</v>
      </c>
      <c r="AA64" s="489">
        <f>IFERROR(GETPIVOTDATA("Project Phase",'YTD SBU'!$A$7,"Group",1,"SBU","H.Clean","Project Type","PPSA","postingdate",VLOOKUP($B$2,myMonth,2,FALSE),"Project Phase","5. RP5 Closure"),0)</f>
        <v>0</v>
      </c>
      <c r="AB64" s="490">
        <f>IFERROR(GETPIVOTDATA("Project Phase",'YTD SBU'!$A$7,"Group",1,"SBU","H.Clean","Project Type","PPSA","Project Phase","5. RP5 Closure"),0)</f>
        <v>0</v>
      </c>
    </row>
    <row r="65" spans="2:28" ht="15.75" thickBot="1">
      <c r="B65" s="722"/>
      <c r="C65" s="295" t="s">
        <v>73</v>
      </c>
      <c r="D65" s="358">
        <f t="shared" si="24"/>
        <v>4</v>
      </c>
      <c r="E65" s="364">
        <f t="shared" si="24"/>
        <v>5</v>
      </c>
      <c r="F65" s="336">
        <f t="shared" si="24"/>
        <v>0</v>
      </c>
      <c r="G65" s="360">
        <f t="shared" si="24"/>
        <v>2</v>
      </c>
      <c r="H65" s="365">
        <f t="shared" ref="H65:I65" si="43">H11</f>
        <v>0</v>
      </c>
      <c r="I65" s="366">
        <f t="shared" si="43"/>
        <v>2</v>
      </c>
      <c r="J65" s="427">
        <f t="shared" ref="J65:K65" si="44">J11</f>
        <v>0</v>
      </c>
      <c r="K65" s="432">
        <f t="shared" si="44"/>
        <v>1</v>
      </c>
      <c r="L65" s="361">
        <f t="shared" ref="L65:M65" si="45">L11</f>
        <v>0</v>
      </c>
      <c r="M65" s="419">
        <f t="shared" si="45"/>
        <v>0</v>
      </c>
      <c r="N65" s="288"/>
      <c r="O65" s="722"/>
      <c r="P65" s="572" t="s">
        <v>73</v>
      </c>
      <c r="Q65" s="356">
        <f>IFERROR(GETPIVOTDATA("Project Phase",'YTD SBU'!$A$7,"Group",1,"SBU","CK","Project Type","PPSA","postingdate",VLOOKUP($B$2,myMonth,2,FALSE),"Project Phase","RP1"),0)</f>
        <v>0</v>
      </c>
      <c r="R65" s="357">
        <f>IFERROR(GETPIVOTDATA("Project Phase",'YTD SBU'!$A$7,"Group",1,"SBU","CK","Project Type","PPSA","Project Phase","RP1"),0)</f>
        <v>0</v>
      </c>
      <c r="S65" s="484">
        <f>IFERROR(GETPIVOTDATA("Project Phase",'YTD SBU'!$A$7,"Group",1,"SBU","CK","Project Type","PPSA","postingdate",VLOOKUP($B$2,myMonth,2,FALSE),"Project Phase","1. RP2"),0)</f>
        <v>0</v>
      </c>
      <c r="T65" s="485">
        <f>IFERROR(GETPIVOTDATA("Project Phase",'YTD SBU'!$A$7,"Group",1,"SBU","CK","Project Type","PPSA","Project Phase","1. RP2"),0)</f>
        <v>0</v>
      </c>
      <c r="U65" s="486">
        <f>IFERROR(GETPIVOTDATA("Project Phase",'YTD SBU'!$A$7,"Group",1,"SBU","CK","Project Type","PPSA","postingdate",VLOOKUP($B$2,myMonth,2,FALSE),"Project Phase","2. RP4"),0)</f>
        <v>0</v>
      </c>
      <c r="V65" s="487">
        <f>IFERROR(GETPIVOTDATA("Project Phase",'YTD SBU'!$A$7,"Group",1,"SBU","CK","Project Type","PPSA","Project Phase","2. RP4"),0)</f>
        <v>0</v>
      </c>
      <c r="W65" s="492">
        <f>IFERROR(GETPIVOTDATA("Project Phase",'YTD SBU'!$A$7,"Group",1,"SBU","CK","Project Type","PPSA","postingdate",VLOOKUP($B$2,myMonth,2,FALSE),"Project Phase","3. PSA/RRA"),0)</f>
        <v>0</v>
      </c>
      <c r="X65" s="496">
        <f>IFERROR(GETPIVOTDATA("Project Phase",'YTD SBU'!$A$7,"Group",1,"SBU","CK","Project Type","PPSA","Project Phase","3. PSA/RRA"),0)</f>
        <v>0</v>
      </c>
      <c r="Y65" s="488">
        <f>IFERROR(GETPIVOTDATA("Project Phase",'YTD SBU'!$A$7,"Group",1,"SBU","CK","Project Type","PPSA","postingdate",VLOOKUP($B$2,myMonth,2,FALSE),"Project Phase","4. RAMP UP"),0)</f>
        <v>0</v>
      </c>
      <c r="Z65" s="494">
        <f>IFERROR(GETPIVOTDATA("Project Phase",'YTD SBU'!$A$7,"Group",1,"SBU","CK","Project Type","PPSA","Project Phase","4. RAMP UP"),0)</f>
        <v>0</v>
      </c>
      <c r="AA65" s="489">
        <f>IFERROR(GETPIVOTDATA("Project Phase",'YTD SBU'!$A$7,"Group",1,"SBU","CK","Project Type","PPSA","postingdate",VLOOKUP($B$2,myMonth,2,FALSE),"Project Phase","5. RP5 Closure"),0)</f>
        <v>0</v>
      </c>
      <c r="AB65" s="490">
        <f>IFERROR(GETPIVOTDATA("Project Phase",'YTD SBU'!$A$7,"Group",1,"SBU","CK","Project Type","PPSA","Project Phase","5. RP5 Closure"),0)</f>
        <v>0</v>
      </c>
    </row>
    <row r="66" spans="2:28" ht="15.75" thickBot="1">
      <c r="B66" s="722"/>
      <c r="C66" s="294" t="s">
        <v>74</v>
      </c>
      <c r="D66" s="436">
        <f t="shared" si="24"/>
        <v>3</v>
      </c>
      <c r="E66" s="437">
        <f t="shared" si="24"/>
        <v>4</v>
      </c>
      <c r="F66" s="405">
        <f t="shared" si="24"/>
        <v>3</v>
      </c>
      <c r="G66" s="391">
        <f t="shared" si="24"/>
        <v>8</v>
      </c>
      <c r="H66" s="438">
        <f t="shared" ref="H66:I66" si="46">H12</f>
        <v>2</v>
      </c>
      <c r="I66" s="439">
        <f t="shared" si="46"/>
        <v>6</v>
      </c>
      <c r="J66" s="428">
        <f t="shared" ref="J66:K66" si="47">J12</f>
        <v>0</v>
      </c>
      <c r="K66" s="433">
        <f t="shared" si="47"/>
        <v>0</v>
      </c>
      <c r="L66" s="440">
        <f t="shared" ref="L66:M66" si="48">L12</f>
        <v>0</v>
      </c>
      <c r="M66" s="441">
        <f t="shared" si="48"/>
        <v>0</v>
      </c>
      <c r="N66" s="288"/>
      <c r="O66" s="722"/>
      <c r="P66" s="573" t="s">
        <v>74</v>
      </c>
      <c r="Q66" s="497">
        <f>IFERROR(GETPIVOTDATA("Project Phase",'YTD SBU'!$A$7,"Group",1,"SBU","SA","Project Type","PPSA","postingdate",VLOOKUP($B$2,myMonth,2,FALSE),"Project Phase","RP1"),0)</f>
        <v>0</v>
      </c>
      <c r="R66" s="498">
        <f>IFERROR(GETPIVOTDATA("Project Phase",'YTD SBU'!$A$7,"Group",1,"SBU","SA","Project Type","PPSA","Project Phase","RP1"),0)</f>
        <v>0</v>
      </c>
      <c r="S66" s="499">
        <f>IFERROR(GETPIVOTDATA("Project Phase",'YTD SBU'!$A$7,"Group",1,"SBU","SA","Project Type","PPSA","postingdate",VLOOKUP($B$2,myMonth,2,FALSE),"Project Phase","1. RP2"),0)</f>
        <v>0</v>
      </c>
      <c r="T66" s="500">
        <f>IFERROR(GETPIVOTDATA("Project Phase",'YTD SBU'!$A$7,"Group",1,"SBU","SA","Project Type","PPSA","Project Phase","1. RP2"),0)</f>
        <v>0</v>
      </c>
      <c r="U66" s="501">
        <f>IFERROR(GETPIVOTDATA("Project Phase",'YTD SBU'!$A$7,"Group",1,"SBU","SA","Project Type","PPSA","postingdate",VLOOKUP($B$2,myMonth,2,FALSE),"Project Phase","2. RP4"),0)</f>
        <v>0</v>
      </c>
      <c r="V66" s="502">
        <f>IFERROR(GETPIVOTDATA("Project Phase",'YTD SBU'!$A$7,"Group",1,"SBU","SA","Project Type","PPSA","Project Phase","2. RP4"),0)</f>
        <v>0</v>
      </c>
      <c r="W66" s="503">
        <f>IFERROR(GETPIVOTDATA("Project Phase",'YTD SBU'!$A$7,"Group",1,"SBU","SA","Project Type","PPSA","postingdate",VLOOKUP($B$2,myMonth,2,FALSE),"Project Phase","3. PSA/RRA"),0)</f>
        <v>0</v>
      </c>
      <c r="X66" s="504">
        <f>IFERROR(GETPIVOTDATA("Project Phase",'YTD SBU'!$A$7,"Group",1,"SBU","SA","Project Type","PPSA","Project Phase","3. PSA/RRA"),0)</f>
        <v>0</v>
      </c>
      <c r="Y66" s="505">
        <f>IFERROR(GETPIVOTDATA("Project Phase",'YTD SBU'!$A$7,"Group",1,"SBU","SA","Project Type","PPSA","postingdate",VLOOKUP($B$2,myMonth,2,FALSE),"Project Phase","4. RAMP UP"),0)</f>
        <v>0</v>
      </c>
      <c r="Z66" s="506">
        <f>IFERROR(GETPIVOTDATA("Project Phase",'YTD SBU'!$A$7,"Group",1,"SBU","SA","Project Type","PPSA","Project Phase","4. RAMP UP"),0)</f>
        <v>0</v>
      </c>
      <c r="AA66" s="507">
        <f>IFERROR(GETPIVOTDATA("Project Phase",'YTD SBU'!$A$7,"Group",1,"SBU","SA","Project Type","PPSA","postingdate",VLOOKUP($B$2,myMonth,2,FALSE),"Project Phase","5. RP5 Closure"),0)</f>
        <v>0</v>
      </c>
      <c r="AB66" s="508">
        <f>IFERROR(GETPIVOTDATA("Project Phase",'YTD SBU'!$A$7,"Group",1,"SBU","SA","Project Type","PPSA","Project Phase","5. RP5 Closure"),0)</f>
        <v>0</v>
      </c>
    </row>
    <row r="67" spans="2:28" ht="15.75" thickBot="1">
      <c r="B67" s="722"/>
      <c r="C67" s="367" t="s">
        <v>75</v>
      </c>
      <c r="D67" s="368">
        <f>SUM(D58:D66)</f>
        <v>10</v>
      </c>
      <c r="E67" s="368">
        <f t="shared" ref="E67:M67" si="49">SUM(E58:E66)</f>
        <v>20</v>
      </c>
      <c r="F67" s="422">
        <f t="shared" si="49"/>
        <v>5</v>
      </c>
      <c r="G67" s="424">
        <f t="shared" si="49"/>
        <v>13</v>
      </c>
      <c r="H67" s="368">
        <f t="shared" si="49"/>
        <v>2</v>
      </c>
      <c r="I67" s="423">
        <f t="shared" si="49"/>
        <v>13</v>
      </c>
      <c r="J67" s="422">
        <f t="shared" si="49"/>
        <v>0</v>
      </c>
      <c r="K67" s="434">
        <f t="shared" si="49"/>
        <v>3</v>
      </c>
      <c r="L67" s="368">
        <f t="shared" si="49"/>
        <v>1</v>
      </c>
      <c r="M67" s="369">
        <f t="shared" si="49"/>
        <v>5</v>
      </c>
      <c r="N67" s="288"/>
      <c r="O67" s="722"/>
      <c r="P67" s="570" t="s">
        <v>75</v>
      </c>
      <c r="Q67" s="509">
        <f>SUM(Q58:Q66)</f>
        <v>0</v>
      </c>
      <c r="R67" s="509">
        <f t="shared" ref="R67:Z67" si="50">SUM(R58:R66)</f>
        <v>1</v>
      </c>
      <c r="S67" s="510">
        <f t="shared" si="50"/>
        <v>1</v>
      </c>
      <c r="T67" s="511">
        <f t="shared" si="50"/>
        <v>4</v>
      </c>
      <c r="U67" s="509">
        <f t="shared" si="50"/>
        <v>1</v>
      </c>
      <c r="V67" s="512">
        <f t="shared" si="50"/>
        <v>3</v>
      </c>
      <c r="W67" s="510">
        <f t="shared" si="50"/>
        <v>1</v>
      </c>
      <c r="X67" s="511">
        <f t="shared" si="50"/>
        <v>3</v>
      </c>
      <c r="Y67" s="509">
        <f t="shared" si="50"/>
        <v>2</v>
      </c>
      <c r="Z67" s="512">
        <f t="shared" si="50"/>
        <v>5</v>
      </c>
      <c r="AA67" s="509">
        <f t="shared" ref="AA67" si="51">SUM(AA58:AA66)</f>
        <v>0</v>
      </c>
      <c r="AB67" s="512">
        <f t="shared" ref="AB67" si="52">SUM(AB58:AB66)</f>
        <v>0</v>
      </c>
    </row>
    <row r="68" spans="2:28" ht="15.75" thickBot="1">
      <c r="B68" s="722"/>
      <c r="C68" s="370" t="s">
        <v>82</v>
      </c>
      <c r="D68" s="346">
        <f>IFERROR(GETPIVOTDATA("Project Phase",'YTD TEAM GR1'!$A$7,"Group",1,"rolename","Allen Team","postingdate",VLOOKUP($B$2,myMonth,2,FALSE),"Project Phase","1. RP2","Project Type","OEM/ODM"),0)</f>
        <v>0</v>
      </c>
      <c r="E68" s="371">
        <f>IFERROR(GETPIVOTDATA("Project Phase",'YTD TEAM GR1'!$A$7,"Group",1,"rolename","Allen Team","Project Phase","1. RP2","Project Type","OEM/ODM"),0)</f>
        <v>2</v>
      </c>
      <c r="F68" s="446">
        <f>IFERROR(GETPIVOTDATA("Project Phase",'YTD TEAM GR1'!$A$7,"Group",1,"rolename","Allen Team","postingdate",VLOOKUP($B$2,myMonth,2,FALSE),"Project Phase","2. RP4","Project Type","OEM/ODM"),0)</f>
        <v>1</v>
      </c>
      <c r="G68" s="449">
        <f>IFERROR(GETPIVOTDATA("Project Phase",'YTD TEAM GR1'!$A$7,"Group",1,"rolename","Allen Team","Project Phase","2. RP4","Project Type","OEM/ODM"),0)</f>
        <v>2</v>
      </c>
      <c r="H68" s="450">
        <f>IFERROR(GETPIVOTDATA("Project Phase",'YTD TEAM GR1'!$A$7,"Group",1,"rolename","Allen Team","postingdate",VLOOKUP($B$2,myMonth,2,FALSE),"Project Phase","3. PSA/RRA","Project Type","OEM/ODM"),0)</f>
        <v>0</v>
      </c>
      <c r="I68" s="372">
        <f>IFERROR(GETPIVOTDATA("Project Phase",'YTD TEAM GR1'!$A$7,"Group",1,"rolename","Allen Team","Project Phase","3. PSA/RRA","Project Type","OEM/ODM"),0)</f>
        <v>2</v>
      </c>
      <c r="J68" s="453">
        <f>IFERROR(GETPIVOTDATA("Project Phase",'YTD TEAM GR1'!$A$7,"Group",1,"rolename","Allen Team","postingdate",VLOOKUP($B$2,myMonth,2,FALSE),"Project Phase","4. RAMP UP","Project Type","OEM/ODM"),0)</f>
        <v>0</v>
      </c>
      <c r="K68" s="456">
        <f>IFERROR(GETPIVOTDATA("Project Phase",'YTD TEAM GR1'!$A$7,"Group",1,"rolename","Allen Team","Project Phase","4.RAMPUP","Project Type","OEM/ODM"),0)</f>
        <v>0</v>
      </c>
      <c r="L68" s="442">
        <f>IFERROR(GETPIVOTDATA("Project Phase",'YTD TEAM GR1'!$A$7,"Group",1,"rolename","Allen Team","postingdate",VLOOKUP($B$2,myMonth,2,FALSE),"Project Phase","5. RP5 Closure","Project Type","OEM/ODM"),0)</f>
        <v>0</v>
      </c>
      <c r="M68" s="459">
        <f>IFERROR(GETPIVOTDATA("Project Phase",'YTD TEAM GR1'!$A$7,"Group",1,"rolename","Allen Team","Project Phase","5. RP5 Closure","Project Type","OEM/ODM"),0)</f>
        <v>4</v>
      </c>
      <c r="N68" s="288"/>
      <c r="O68" s="722"/>
      <c r="P68" s="574" t="s">
        <v>78</v>
      </c>
      <c r="Q68" s="323">
        <f>IFERROR(GETPIVOTDATA("Project Phase",'YTD SBU'!$A$7,"Group",2,"SBU","Total KE","Project Type","PPSA","postingdate",VLOOKUP($B$2,myMonth,2,FALSE),"Project Phase","RP1"),0)</f>
        <v>0</v>
      </c>
      <c r="R68" s="324">
        <f>IFERROR(GETPIVOTDATA("Project Phase",'YTD SBU'!$A$7,"Group",2,"SBU","Total KE","Project Type","PPSA","Project Phase","RP1"),0)</f>
        <v>1</v>
      </c>
      <c r="S68" s="325">
        <f>IFERROR(GETPIVOTDATA("Project Phase",'YTD SBU'!$A$7,"Group",2,"SBU","Total KE","Project Type","PPSA","postingdate",VLOOKUP($B$2,myMonth,2,FALSE),"Project Phase","1. RP2"),0)</f>
        <v>1</v>
      </c>
      <c r="T68" s="324">
        <f>IFERROR(GETPIVOTDATA("Project Phase",'YTD SBU'!$A$7,"Group",2,"SBU","Total KE","Project Type","PPSA","Project Phase","1. RP2"),0)</f>
        <v>2</v>
      </c>
      <c r="U68" s="413">
        <f>IFERROR(GETPIVOTDATA("Project Phase",'YTD SBU'!$A$7,"Group",2,"SBU","Total KE","Project Type","PPSA","postingdate",VLOOKUP($B$2,myMonth,2,FALSE),"Project Phase","2. RP4"),0)</f>
        <v>1</v>
      </c>
      <c r="V68" s="411">
        <f>IFERROR(GETPIVOTDATA("Project Phase",'YTD SBU'!$A$7,"Group",2,"SBU","Total KE","Project Type","PPSA","Project Phase","2. RP4"),0)</f>
        <v>2</v>
      </c>
      <c r="W68" s="325">
        <f>IFERROR(GETPIVOTDATA("Project Phase",'YTD SBU'!$A$7,"Group",2,"SBU","Total KE","Project Type","PPSA","postingdate",VLOOKUP($B$2,myMonth,2,FALSE),"Project Phase","3. PSA/RRA"),0)</f>
        <v>1</v>
      </c>
      <c r="X68" s="324">
        <f>IFERROR(GETPIVOTDATA("Project Phase",'YTD SBU'!$A$7,"Group",2,"SBU","Total KE","Project Type","PPSA","Project Phase","3. PSA/RRA"),0)</f>
        <v>1</v>
      </c>
      <c r="Y68" s="413">
        <f>IFERROR(GETPIVOTDATA("Project Phase",'YTD SBU'!$A$7,"Group",2,"SBU","Total KE","Project Type","PPSA","postingdate",VLOOKUP($B$2,myMonth,2,FALSE),"Project Phase","4. RAMP UP"),0)</f>
        <v>1</v>
      </c>
      <c r="Z68" s="411">
        <f>IFERROR(GETPIVOTDATA("Project Phase",'YTD SBU'!$A$7,"Group",2,"SBU","Total KE","Project Type","PPSA","Project Phase","4. RAMP UP"),0)</f>
        <v>4</v>
      </c>
      <c r="AA68" s="323">
        <f>IFERROR(GETPIVOTDATA("Project Phase",'YTD SBU'!$A$7,"Group",2,"SBU","Total KE","Project Type","PPSA","postingdate",VLOOKUP($B$2,myMonth,2,FALSE),"Project Phase","5. RP5 Closure"),0)</f>
        <v>0</v>
      </c>
      <c r="AB68" s="411">
        <f>IFERROR(GETPIVOTDATA("Project Phase",'YTD SBU'!$A$7,"Group",2,"SBU","Total KE","Project Type","PPSA","Project Phase","5. RP5 Closure"),0)</f>
        <v>0</v>
      </c>
    </row>
    <row r="69" spans="2:28" ht="15.75" thickBot="1">
      <c r="B69" s="722"/>
      <c r="C69" s="322" t="s">
        <v>83</v>
      </c>
      <c r="D69" s="358">
        <f>IFERROR(GETPIVOTDATA("Project Phase",'YTD TEAM GR1'!$A$7,"Group",1,"rolename","BRENDA Team","postingdate",VLOOKUP($B$2,myMonth,2,FALSE),"Project Phase","1. RP2","Project Type","OEM/ODM"),0)</f>
        <v>2</v>
      </c>
      <c r="E69" s="364">
        <f>IFERROR(GETPIVOTDATA("Project Phase",'YTD TEAM GR1'!$A$7,"Group",1,"rolename","BRENDA Team","Project Phase","1. RP2","Project Type","OEM/ODM"),0)</f>
        <v>7</v>
      </c>
      <c r="F69" s="447">
        <f>IFERROR(GETPIVOTDATA("Project Phase",'YTD TEAM GR1'!$A$7,"Group",1,"rolename","BRENDA Team","postingdate",VLOOKUP($B$2,myMonth,2,FALSE),"Project Phase","2. RP4","Project Type","OEM/ODM"),0)</f>
        <v>1</v>
      </c>
      <c r="G69" s="348">
        <f>IFERROR(GETPIVOTDATA("Project Phase",'YTD TEAM GR1'!$A$7,"Group",1,"rolename","BRENDA Team","Project Phase","2. RP4","Project Type","OEM/ODM"),0)</f>
        <v>1</v>
      </c>
      <c r="H69" s="334">
        <f>IFERROR(GETPIVOTDATA("Project Phase",'YTD TEAM GR1'!$A$7,"Group",1,"rolename","BRENDA Team","postingdate",VLOOKUP($B$2,myMonth,2,FALSE),"Project Phase","3. PSA/RRA","Project Type","OEM/ODM"),0)</f>
        <v>0</v>
      </c>
      <c r="I69" s="372">
        <f>IFERROR(GETPIVOTDATA("Project Phase",'YTD TEAM GR1'!$A$7,"Group",1,"rolename","BRENDA Team","Project Phase","3. PSA/RRA","Project Type","OEM/ODM"),0)</f>
        <v>2</v>
      </c>
      <c r="J69" s="454">
        <f>IFERROR(GETPIVOTDATA("Project Phase",'YTD TEAM GR1'!$A$7,"Group",1,"rolename","BRENDA Team","postingdate",VLOOKUP($B$2,myMonth,2,FALSE),"Project Phase","4. RAMP UP","Project Type","OEM/ODM"),0)</f>
        <v>0</v>
      </c>
      <c r="K69" s="457">
        <f>IFERROR(GETPIVOTDATA("Project Phase",'YTD TEAM GR1'!$A$7,"Group",1,"rolename","BRENDA Team","Project Phase","4. RAMP UP","Project Type","OEM/ODM"),0)</f>
        <v>0</v>
      </c>
      <c r="L69" s="443">
        <f>IFERROR(GETPIVOTDATA("Project Phase",'YTD TEAM GR1'!$A$7,"Group",1,"rolename","BRENDA Team","postingdate",VLOOKUP($B$2,myMonth,2,FALSE),"Project Phase","5. RP5 Closure","Project Type","OEM/ODM"),0)</f>
        <v>0</v>
      </c>
      <c r="M69" s="460">
        <f>IFERROR(GETPIVOTDATA("Project Phase",'YTD TEAM GR1'!$A$7,"Group",1,"rolename","BRENDA Team","Project Phase","5. RP5 Closure","Project Type","OEM/ODM"),0)</f>
        <v>0</v>
      </c>
      <c r="N69" s="288"/>
      <c r="O69" s="722"/>
      <c r="P69" s="575" t="s">
        <v>79</v>
      </c>
      <c r="Q69" s="373">
        <f>IFERROR(GETPIVOTDATA("Project Phase",'YTD SBU'!$A$7,"Group",2,"SBU","Total HPC","Project Type","PPSA","postingdate",VLOOKUP($B$2,myMonth,2,FALSE),"Project Phase","RP1"),0)</f>
        <v>0</v>
      </c>
      <c r="R69" s="374">
        <f>IFERROR(GETPIVOTDATA("Project Phase",'YTD SBU'!$A$7,"Group",2,"SBU","Total HPC","Project Type","PPSA","Project Phase","RP1"),0)</f>
        <v>0</v>
      </c>
      <c r="S69" s="410">
        <f>IFERROR(GETPIVOTDATA("Project Phase",'YTD SBU'!$A$7,"Group",2,"SBU","Total HPC","Project Type","PPSA","postingdate",VLOOKUP($B$2,myMonth,2,FALSE),"Project Phase","1. RP2"),0)</f>
        <v>0</v>
      </c>
      <c r="T69" s="374">
        <f>IFERROR(GETPIVOTDATA("Project Phase",'YTD SBU'!$A$7,"Group",2,"SBU","Total HPC","Project Type","PPSA","Project Phase","1. RP2"),0)</f>
        <v>2</v>
      </c>
      <c r="U69" s="414">
        <f>IFERROR(GETPIVOTDATA("Project Phase",'YTD SBU'!$A$7,"Group",2,"SBU","Total HPC","Project Type","PPSA","postingdate",VLOOKUP($B$2,myMonth,2,FALSE),"Project Phase","2. RP4"),0)</f>
        <v>0</v>
      </c>
      <c r="V69" s="412">
        <f>IFERROR(GETPIVOTDATA("Project Phase",'YTD SBU'!$A$7,"Group",2,"SBU","Total HPC","Project Type","PPSA","Project Phase","2. RP4"),0)</f>
        <v>1</v>
      </c>
      <c r="W69" s="410">
        <f>IFERROR(GETPIVOTDATA("Project Phase",'YTD SBU'!$A$7,"Group",2,"SBU","Total HPC","Project Type","PPSA","postingdate",VLOOKUP($B$2,myMonth,2,FALSE),"Project Phase","3. PSA/RRA"),0)</f>
        <v>0</v>
      </c>
      <c r="X69" s="374">
        <f>IFERROR(GETPIVOTDATA("Project Phase",'YTD SBU'!$A$7,"Group",2,"SBU","Total HPC","Project Type","PPSA","Project Phase","3. PSA/RRA"),0)</f>
        <v>2</v>
      </c>
      <c r="Y69" s="414">
        <f>IFERROR(GETPIVOTDATA("Project Phase",'YTD SBU'!$A$7,"Group",2,"SBU","Total HPC","Project Type","PPSA","postingdate",VLOOKUP($B$2,myMonth,2,FALSE),"Project Phase","4. RAMP UP"),0)</f>
        <v>1</v>
      </c>
      <c r="Z69" s="412">
        <f>IFERROR(GETPIVOTDATA("Project Phase",'YTD SBU'!$A$7,"Group",2,"SBU","Total HPC","Project Type","PPSA","Project Phase","4. RAMP UP"),0)</f>
        <v>1</v>
      </c>
      <c r="AA69" s="373">
        <f>IFERROR(GETPIVOTDATA("Project Phase",'YTD SBU'!$A$7,"Group",2,"SBU","Total HPC","Project Type","PPSA","postingdate",VLOOKUP($B$2,myMonth,2,FALSE),"Project Phase","5. RP5 Closure"),0)</f>
        <v>0</v>
      </c>
      <c r="AB69" s="412">
        <f>IFERROR(GETPIVOTDATA("Project Phase",'YTD SBU'!$A$7,"Group",2,"SBU","Total HPC","Project Type","PPSA","Project Phase","5. RP5 Closure"),0)</f>
        <v>0</v>
      </c>
    </row>
    <row r="70" spans="2:28" ht="15.75" thickBot="1">
      <c r="B70" s="722"/>
      <c r="C70" s="322" t="s">
        <v>84</v>
      </c>
      <c r="D70" s="358">
        <f>IFERROR(GETPIVOTDATA("Project Phase",'YTD TEAM GR1'!$A$7,"Group",1,"rolename","GARY Team","postingdate",VLOOKUP($B$2,myMonth,2,FALSE),"Project Phase","1. RP2","Project Type","OEM/ODM"),0)</f>
        <v>0</v>
      </c>
      <c r="E70" s="364">
        <f>IFERROR(GETPIVOTDATA("Project Phase",'YTD TEAM GR1'!$A$7,"Group",1,"rolename","GARY Team","Project Phase","1. RP2","Project Type","OEM/ODM"),0)</f>
        <v>1</v>
      </c>
      <c r="F70" s="447">
        <f>IFERROR(GETPIVOTDATA("Project Phase",'YTD TEAM GR1'!$A$7,"Group",1,"rolename","GARY Team","postingdate",VLOOKUP($B$2,myMonth,2,FALSE),"Project Phase","2. RP4","Project Type","OEM/ODM"),0)</f>
        <v>0</v>
      </c>
      <c r="G70" s="348">
        <f>IFERROR(GETPIVOTDATA("Project Phase",'YTD TEAM GR1'!$A$7,"Group",1,"rolename","GARY Team","Project Phase","2. RP4","Project Type","OEM/ODM"),0)</f>
        <v>1</v>
      </c>
      <c r="H70" s="334">
        <f>IFERROR(GETPIVOTDATA("Project Phase",'YTD TEAM GR1'!$A$7,"Group",1,"rolename","GARY Team","postingdate",VLOOKUP($B$2,myMonth,2,FALSE),"Project Phase","3. PSA/RRA","Project Type","OEM/ODM"),0)</f>
        <v>0</v>
      </c>
      <c r="I70" s="372">
        <f>IFERROR(GETPIVOTDATA("Project Phase",'YTD TEAM GR1'!$A$7,"Group",1,"rolename","GARY Team","Project Phase","3. PSA/RRA","Project Type","OEM/ODM"),0)</f>
        <v>2</v>
      </c>
      <c r="J70" s="454">
        <f>IFERROR(GETPIVOTDATA("Project Phase",'YTD TEAM GR1'!$A$7,"Group",1,"rolename","GARY Team","postingdate",VLOOKUP($B$2,myMonth,2,FALSE),"Project Phase","4. RAMP UP","Project Type","OEM/ODM"),0)</f>
        <v>0</v>
      </c>
      <c r="K70" s="457">
        <f>IFERROR(GETPIVOTDATA("Project Phase",'YTD TEAM GR1'!$A$7,"Group",1,"rolename","GARY Team","Project Phase","4. RAMP UP","Project Type","OEM/ODM"),0)</f>
        <v>1</v>
      </c>
      <c r="L70" s="443">
        <f>IFERROR(GETPIVOTDATA("Project Phase",'YTD TEAM GR1'!$A$7,"Group",1,"rolename","GARY Team","postingdate",VLOOKUP($B$2,myMonth,2,FALSE),"Project Phase","5. RP5 Closure","Project Type","OEM/ODM"),0)</f>
        <v>0</v>
      </c>
      <c r="M70" s="460">
        <f>IFERROR(GETPIVOTDATA("Project Phase",'YTD TEAM GR1'!$A$7,"Group",1,"rolename","GARY Team","Project Phase","5. RP5 Closure","Project Type","OEM/ODM"),0)</f>
        <v>0</v>
      </c>
      <c r="N70" s="288"/>
      <c r="O70" s="722"/>
      <c r="P70" s="576" t="s">
        <v>82</v>
      </c>
      <c r="Q70" s="344">
        <f>IFERROR(GETPIVOTDATA("Project Phase",'YTD TEAM GR1'!$A$7,"Group",1,"rolename","Allen Team","Project Type","PPSA","postingdate",VLOOKUP($B$2,myMonth,2,FALSE),"Project Phase","RP1"),0)</f>
        <v>0</v>
      </c>
      <c r="R70" s="345">
        <f>IFERROR(GETPIVOTDATA("Project Phase",'YTD TEAM GR1'!$A$7,"Group",1,"rolename","Allen Team","Project Type","PPSA","Project Phase","RP1"),0)</f>
        <v>0</v>
      </c>
      <c r="S70" s="346">
        <f>IFERROR(GETPIVOTDATA("Project Phase",'YTD TEAM GR1'!$A$7,"Group",1,"rolename","Allen Team","Project Type","PPSA","postingdate",VLOOKUP($B$2,myMonth,2,FALSE),"Project Phase","1. RP2"),0)</f>
        <v>0</v>
      </c>
      <c r="T70" s="347">
        <f>IFERROR(GETPIVOTDATA("Project Phase",'YTD TEAM GR1'!$A$7,"Group",1,"rolename","Allen Team","Project Type","PPSA","Project Phase","1. RP2"),0)</f>
        <v>0</v>
      </c>
      <c r="U70" s="332">
        <f>IFERROR(GETPIVOTDATA("Project Phase",'YTD TEAM GR1'!$A$7,"Group",1,"rolename","Allen Team","Project Type","PPSA","postingdate",VLOOKUP($B$2,myMonth,2,FALSE),"Project Phase","1. RP2"),0)</f>
        <v>0</v>
      </c>
      <c r="V70" s="348">
        <f>IFERROR(GETPIVOTDATA("Project Phase",'YTD TEAM GR1'!$A$7,"Group",1,"rolename","Allen Team","Project Type","PPSA","Project Phase","1. RP2"),0)</f>
        <v>0</v>
      </c>
      <c r="W70" s="415">
        <f>IFERROR(GETPIVOTDATA("Project Phase",'YTD TEAM GR1'!$A$7,"Group",1,"rolename","Allen Team","Project Type","PPSA","postingdate",VLOOKUP($B$2,myMonth,2,FALSE),"Project Phase","3. PSA/RRA"),0)</f>
        <v>0</v>
      </c>
      <c r="X70" s="462">
        <f>IFERROR(GETPIVOTDATA("Project Phase",'YTD TEAM GR1'!$A$7,"Group",1,"rolename","Allen Team","Project Type","PPSA","Project Phase","3. PSA/RRA"),0)</f>
        <v>2</v>
      </c>
      <c r="Y70" s="463">
        <f>IFERROR(GETPIVOTDATA("Project Phase",'YTD TEAM GR1'!$A$7,"Group",1,"rolename","Allen Team","Project Type","PPSA","postingdate",VLOOKUP($B$2,myMonth,2,FALSE),"Project Phase","4. RAMP UP"),0)</f>
        <v>1</v>
      </c>
      <c r="Z70" s="475">
        <f>IFERROR(GETPIVOTDATA("Project Phase",'YTD TEAM GR1'!$A$7,"Group",1,"rolename","Allen Team","Project Type","PPSA","Project Phase","4. RAMP UP"),0)</f>
        <v>1</v>
      </c>
      <c r="AA70" s="472">
        <f>IFERROR(GETPIVOTDATA("Project Phase",'YTD TEAM GR1'!$A$7,"Group",1,"rolename","Allen Team","Project Type","PPSA","postingdate",VLOOKUP($B$2,myMonth,2,FALSE),"Project Phase","5. RP5 Closure"),0)</f>
        <v>0</v>
      </c>
      <c r="AB70" s="418">
        <f>IFERROR(GETPIVOTDATA("Project Phase",'YTD TEAM GR1'!$A$7,"Group",1,"rolename","Allen Team","Project Type","PPSA","Project Phase","5. RP5 Closure"),0)</f>
        <v>0</v>
      </c>
    </row>
    <row r="71" spans="2:28" ht="15.75" thickBot="1">
      <c r="B71" s="722"/>
      <c r="C71" s="322" t="s">
        <v>85</v>
      </c>
      <c r="D71" s="358">
        <f>IFERROR(GETPIVOTDATA("Project Phase",'YTD TEAM GR1'!$A$7,"Group",1,"rolename","JOEY Team","postingdate",VLOOKUP($B$2,myMonth,2,FALSE),"Project Phase","1. RP2","Project Type","OEM/ODM"),0)</f>
        <v>1</v>
      </c>
      <c r="E71" s="364">
        <f>IFERROR(GETPIVOTDATA("Project Phase",'YTD TEAM GR1'!$A$7,"Group",1,"rolename","JOEY Team","Project Phase","1. RP2","Project Type","OEM/ODM"),0)</f>
        <v>1</v>
      </c>
      <c r="F71" s="447">
        <f>IFERROR(GETPIVOTDATA("Project Phase",'YTD TEAM GR1'!$A$7,"Group",1,"rolename","JOEY Team","postingdate",VLOOKUP($B$2,myMonth,2,FALSE),"Project Phase","2. RP4","Project Type","OEM/ODM"),0)</f>
        <v>0</v>
      </c>
      <c r="G71" s="348">
        <f>IFERROR(GETPIVOTDATA("Project Phase",'YTD TEAM GR1'!$A$7,"Group",1,"rolename","JOEY Team","Project Phase","2. RP4","Project Type","OEM/ODM"),0)</f>
        <v>0</v>
      </c>
      <c r="H71" s="334">
        <f>IFERROR(GETPIVOTDATA("Project Phase",'YTD TEAM GR1'!$A$7,"Group",1,"rolename","JOEY Team","postingdate",VLOOKUP($B$2,myMonth,2,FALSE),"Project Phase","3. PSA/RRA","Project Type","OEM/ODM"),0)</f>
        <v>0</v>
      </c>
      <c r="I71" s="372">
        <f>IFERROR(GETPIVOTDATA("Project Phase",'YTD TEAM GR1'!$A$7,"Group",1,"rolename","JOEY Team","Project Phase","3. PSA/RRA","Project Type","OEM/ODM"),0)</f>
        <v>0</v>
      </c>
      <c r="J71" s="454">
        <f>IFERROR(GETPIVOTDATA("Project Phase",'YTD TEAM GR1'!$A$7,"Group",1,"rolename","JOEY Team","postingdate",VLOOKUP($B$2,myMonth,2,FALSE),"Project Phase","4. RAMP UP","Project Type","OEM/ODM"),0)</f>
        <v>0</v>
      </c>
      <c r="K71" s="457">
        <f>IFERROR(GETPIVOTDATA("Project Phase",'YTD TEAM GR1'!$A$7,"Group",1,"rolename","JOEY Team","Project Phase","4. RAMP UP","Project Type","OEM/ODM"),0)</f>
        <v>0</v>
      </c>
      <c r="L71" s="443">
        <f>IFERROR(GETPIVOTDATA("Project Phase",'YTD TEAM GR1'!$A$7,"Group",1,"rolename","JOEY Team","postingdate",VLOOKUP($B$2,myMonth,2,FALSE),"Project Phase","5. RP5 Closure","Project Type","OEM/ODM"),0)</f>
        <v>1</v>
      </c>
      <c r="M71" s="460">
        <f>IFERROR(GETPIVOTDATA("Project Phase",'YTD TEAM GR1'!$A$7,"Group",1,"rolename","JOEY Team","Project Phase","5. RP5 Closure","Project Type","OEM/ODM"),0)</f>
        <v>1</v>
      </c>
      <c r="N71" s="288"/>
      <c r="O71" s="722"/>
      <c r="P71" s="577" t="s">
        <v>83</v>
      </c>
      <c r="Q71" s="344">
        <f>IFERROR(GETPIVOTDATA("Project Phase",'YTD TEAM GR1'!$A$7,"Group",1,"rolename","Brenda Team","Project Type","PPSA","postingdate",VLOOKUP($B$2,myMonth,2,FALSE),"Project Phase","RP1"),0)</f>
        <v>0</v>
      </c>
      <c r="R71" s="345">
        <f>IFERROR(GETPIVOTDATA("Project Phase",'YTD TEAM GR1'!$A$7,"Group",1,"rolename","Brenda Team","Project Type","PPSA","Project Phase","RP1"),0)</f>
        <v>0</v>
      </c>
      <c r="S71" s="346">
        <f>IFERROR(GETPIVOTDATA("Project Phase",'YTD TEAM GR1'!$A$7,"Group",1,"rolename","Brenda Team","Project Type","PPSA","postingdate",VLOOKUP($B$2,myMonth,2,FALSE),"Project Phase","1. RP2"),0)</f>
        <v>0</v>
      </c>
      <c r="T71" s="347">
        <f>IFERROR(GETPIVOTDATA("Project Phase",'YTD TEAM GR1'!$A$7,"Group",1,"rolename","Brenda Team","Project Type","PPSA","Project Phase","1. RP2"),0)</f>
        <v>2</v>
      </c>
      <c r="U71" s="332">
        <f>IFERROR(GETPIVOTDATA("Project Phase",'YTD TEAM GR1'!$A$7,"Group",1,"rolename","BRENDA Team","Project Type","PPSA","postingdate",VLOOKUP($B$2,myMonth,2,FALSE),"Project Phase","1. RP2"),0)</f>
        <v>0</v>
      </c>
      <c r="V71" s="348">
        <f>IFERROR(GETPIVOTDATA("Project Phase",'YTD TEAM GR1'!$A$7,"Group",1,"rolename","BRENDA Team","Project Type","PPSA","Project Phase","1. RP2"),0)</f>
        <v>2</v>
      </c>
      <c r="W71" s="415">
        <f>IFERROR(GETPIVOTDATA("Project Phase",'YTD TEAM GR1'!$A$7,"Group",1,"rolename","BRENDA Team","Project Type","PPSA","postingdate",VLOOKUP($B$2,myMonth,2,FALSE),"Project Phase","3. PSA/RRA"),0)</f>
        <v>0</v>
      </c>
      <c r="X71" s="330">
        <f>IFERROR(GETPIVOTDATA("Project Phase",'YTD TEAM GR1'!$A$7,"Group",1,"rolename","BRENDA Team","Project Type","PPSA","Project Phase","3. PSA/RRA"),0)</f>
        <v>0</v>
      </c>
      <c r="Y71" s="331">
        <f>IFERROR(GETPIVOTDATA("Project Phase",'YTD TEAM GR1'!$A$7,"Group",1,"rolename","BRENDA Team","Project Type","PPSA","postingdate",VLOOKUP($B$2,myMonth,2,FALSE),"Project Phase","4. RAMP UP"),0)</f>
        <v>0</v>
      </c>
      <c r="Z71" s="349">
        <f>IFERROR(GETPIVOTDATA("Project Phase",'YTD TEAM GR1'!$A$7,"Group",1,"rolename","BRENDA Team","Project Type","PPSA","Project Phase","4. RAMP UP"),0)</f>
        <v>0</v>
      </c>
      <c r="AA71" s="333">
        <f>IFERROR(GETPIVOTDATA("Project Phase",'YTD TEAM GR1'!$A$7,"Group",1,"rolename","BRENDA Team","Project Type","PPSA","postingdate",VLOOKUP($B$2,myMonth,2,FALSE),"Project Phase","5. RP5 Closure"),0)</f>
        <v>0</v>
      </c>
      <c r="AB71" s="418">
        <f>IFERROR(GETPIVOTDATA("Project Phase",'YTD TEAM GR1'!$A$7,"Group",1,"rolename","BRENDA Team","Project Type","PPSA","Project Phase","5. RP5 Closure"),0)</f>
        <v>0</v>
      </c>
    </row>
    <row r="72" spans="2:28" ht="15.75" thickBot="1">
      <c r="B72" s="723"/>
      <c r="C72" s="326" t="s">
        <v>86</v>
      </c>
      <c r="D72" s="375">
        <f>IFERROR(GETPIVOTDATA("Project Phase",'YTD TEAM GR1'!$A$7,"Group",1,"rolename","KARL Team","postingdate",VLOOKUP($B$2,myMonth,2,FALSE),"Project Phase","1. RP2","Project Type","OEM/ODM"),0)</f>
        <v>7</v>
      </c>
      <c r="E72" s="376">
        <f>IFERROR(GETPIVOTDATA("Project Phase",'YTD TEAM GR1'!$A$7,"Group",1,"rolename","KARL Team","Project Phase","1. RP2","Project Type","OEM/ODM"),0)</f>
        <v>9</v>
      </c>
      <c r="F72" s="448">
        <f>IFERROR(GETPIVOTDATA("Project Phase",'YTD TEAM GR1'!$A$7,"Group",1,"rolename","KARL Team","postingdate",VLOOKUP($B$2,myMonth,2,FALSE),"Project Phase","2. RP4","Project Type","OEM/ODM"),0)</f>
        <v>3</v>
      </c>
      <c r="G72" s="451">
        <f>IFERROR(GETPIVOTDATA("Project Phase",'YTD TEAM GR1'!$A$7,"Group",1,"rolename","KARL Team","Project Phase","2. RP4","Project Type","OEM/ODM"),0)</f>
        <v>9</v>
      </c>
      <c r="H72" s="377">
        <f>IFERROR(GETPIVOTDATA("Project Phase",'YTD TEAM GR1'!$A$7,"Group",1,"rolename","KARL Team","postingdate",VLOOKUP($B$2,myMonth,2,FALSE),"Project Phase","3. PSA/RRA","Project Type","OEM/ODM"),0)</f>
        <v>2</v>
      </c>
      <c r="I72" s="452">
        <f>IFERROR(GETPIVOTDATA("Project Phase",'YTD TEAM GR1'!$A$7,"Group",1,"rolename","KARL Team","Project Phase","3. PSA/RRA","Project Type","OEM/ODM"),0)</f>
        <v>7</v>
      </c>
      <c r="J72" s="455">
        <f>IFERROR(GETPIVOTDATA("Project Phase",'YTD TEAM GR1'!$A$7,"Group",1,"rolename","KARL Team","postingdate",VLOOKUP($B$2,myMonth,2,FALSE),"Project Phase","4. RAMP UP","Project Type","OEM/ODM"),0)</f>
        <v>0</v>
      </c>
      <c r="K72" s="458">
        <f>IFERROR(GETPIVOTDATA("Project Phase",'YTD TEAM GR1'!$A$7,"Group",1,"rolename","KARL Team","Project Phase","4. RAMP UP","Project Type","OEM/ODM"),0)</f>
        <v>1</v>
      </c>
      <c r="L72" s="444">
        <f>IFERROR(GETPIVOTDATA("Project Phase",'YTD TEAM GR1'!$A$7,"Group",1,"rolename","KARL Team","postingdate",VLOOKUP($B$2,myMonth,2,FALSE),"Project Phase","5. RP5 Closure","Project Type","OEM/ODM"),0)</f>
        <v>0</v>
      </c>
      <c r="M72" s="461">
        <f>IFERROR(GETPIVOTDATA("Project Phase",'YTD TEAM GR1'!$A$7,"Group",1,"rolename","KARL Team","Project Phase","5. RP5 Closure","Project Type","OEM/ODM"),0)</f>
        <v>0</v>
      </c>
      <c r="N72" s="288"/>
      <c r="O72" s="722"/>
      <c r="P72" s="577" t="s">
        <v>84</v>
      </c>
      <c r="Q72" s="344">
        <f>IFERROR(GETPIVOTDATA("Project Phase",'YTD TEAM GR1'!$A$7,"Group",1,"rolename","Gary Team","Project Type","PPSA","postingdate",VLOOKUP($B$2,myMonth,2,FALSE),"Project Phase","RP1"),0)</f>
        <v>0</v>
      </c>
      <c r="R72" s="345">
        <f>IFERROR(GETPIVOTDATA("Project Phase",'YTD TEAM GR1'!$A$7,"Group",1,"rolename","Gary Team","Project Type","PPSA","Project Phase","RP1"),0)</f>
        <v>1</v>
      </c>
      <c r="S72" s="346">
        <f>IFERROR(GETPIVOTDATA("Project Phase",'YTD TEAM GR1'!$A$7,"Group",1,"rolename","Gary Team","Project Type","PPSA","postingdate",VLOOKUP($B$2,myMonth,2,FALSE),"Project Phase","1. RP2"),0)</f>
        <v>1</v>
      </c>
      <c r="T72" s="347">
        <f>IFERROR(GETPIVOTDATA("Project Phase",'YTD TEAM GR1'!$A$7,"Group",1,"rolename","Gary Team","Project Type","PPSA","Project Phase","1. RP2"),0)</f>
        <v>2</v>
      </c>
      <c r="U72" s="332">
        <f>IFERROR(GETPIVOTDATA("Project Phase",'YTD TEAM GR1'!$A$7,"Group",1,"rolename","GARY Team","Project Type","PPSA","postingdate",VLOOKUP($B$2,myMonth,2,FALSE),"Project Phase","1. RP2"),0)</f>
        <v>1</v>
      </c>
      <c r="V72" s="348">
        <f>IFERROR(GETPIVOTDATA("Project Phase",'YTD TEAM GR1'!$A$7,"Group",1,"rolename","GARY Team","Project Type","PPSA","Project Phase","1. RP2"),0)</f>
        <v>2</v>
      </c>
      <c r="W72" s="415">
        <f>IFERROR(GETPIVOTDATA("Project Phase",'YTD TEAM GR1'!$A$7,"Group",1,"rolename","GARY Team","Project Type","PPSA","postingdate",VLOOKUP($B$2,myMonth,2,FALSE),"Project Phase","3. PSA/RRA"),0)</f>
        <v>0</v>
      </c>
      <c r="X72" s="330">
        <f>IFERROR(GETPIVOTDATA("Project Phase",'YTD TEAM GR1'!$A$7,"Group",1,"rolename","GARY Team","Project Type","PPSA","Project Phase","3. PSA/RRA"),0)</f>
        <v>0</v>
      </c>
      <c r="Y72" s="331">
        <f>IFERROR(GETPIVOTDATA("Project Phase",'YTD TEAM GR1'!$A$7,"Group",1,"rolename","GARY Team","Project Type","PPSA","postingdate",VLOOKUP($B$2,myMonth,2,FALSE),"Project Phase","4. RAMP UP"),0)</f>
        <v>0</v>
      </c>
      <c r="Z72" s="349">
        <f>IFERROR(GETPIVOTDATA("Project Phase",'YTD TEAM GR1'!$A$7,"Group",1,"rolename","GARY Team","Project Type","PPSA","Project Phase","4. RAMP UP"),0)</f>
        <v>1</v>
      </c>
      <c r="AA72" s="333">
        <f>IFERROR(GETPIVOTDATA("Project Phase",'YTD TEAM GR1'!$A$7,"Group",1,"rolename","GARY Team","Project Type","PPSA","postingdate",VLOOKUP($B$2,myMonth,2,FALSE),"Project Phase","5. RP5 Closure"),0)</f>
        <v>0</v>
      </c>
      <c r="AB72" s="418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7"/>
      <c r="C73" s="404"/>
      <c r="D73" s="404"/>
      <c r="E73" s="404"/>
      <c r="F73" s="404"/>
      <c r="G73" s="327"/>
      <c r="H73" s="327"/>
      <c r="I73" s="327"/>
      <c r="J73" s="327"/>
      <c r="K73" s="327"/>
      <c r="L73" s="327"/>
      <c r="M73" s="327"/>
      <c r="N73" s="288"/>
      <c r="O73" s="722"/>
      <c r="P73" s="577" t="s">
        <v>85</v>
      </c>
      <c r="Q73" s="356">
        <f>IFERROR(GETPIVOTDATA("Project Phase",'YTD TEAM GR1'!$A$7,"Group",1,"rolename","Joey Team","Project Type","PPSA","postingdate",VLOOKUP($B$2,myMonth,2,FALSE),"Project Phase","RP1"),0)</f>
        <v>0</v>
      </c>
      <c r="R73" s="357">
        <f>IFERROR(GETPIVOTDATA("Project Phase",'YTD TEAM GR1'!$A$7,"Group",1,"rolename","Joey Team","Project Type","PPSA","Project Phase","RP1"),0)</f>
        <v>0</v>
      </c>
      <c r="S73" s="358">
        <f>IFERROR(GETPIVOTDATA("Project Phase",'YTD TEAM GR1'!$A$7,"Group",1,"rolename","Joey Team","Project Type","PPSA","postingdate",VLOOKUP($B$2,myMonth,2,FALSE),"Project Phase","1. RP2"),0)</f>
        <v>0</v>
      </c>
      <c r="T73" s="359">
        <f>IFERROR(GETPIVOTDATA("Project Phase",'YTD TEAM GR1'!$A$7,"Group",1,"rolename","Joey Team","Project Type","PPSA","Project Phase","1. RP2"),0)</f>
        <v>0</v>
      </c>
      <c r="U73" s="336">
        <f>IFERROR(GETPIVOTDATA("Project Phase",'YTD TEAM GR1'!$A$7,"Group",1,"rolename","JOEY Team","Project Type","PPSA","postingdate",VLOOKUP($B$2,myMonth,2,FALSE),"Project Phase","1. RP2"),0)</f>
        <v>0</v>
      </c>
      <c r="V73" s="360">
        <f>IFERROR(GETPIVOTDATA("Project Phase",'YTD TEAM GR1'!$A$7,"Group",1,"rolename","JOEY Team","Project Type","PPSA","Project Phase","1. RP2"),0)</f>
        <v>0</v>
      </c>
      <c r="W73" s="416">
        <f>IFERROR(GETPIVOTDATA("Project Phase",'YTD TEAM GR1'!$A$7,"Group",1,"rolename","JOEY Team","Project Type","PPSA","postingdate",VLOOKUP($B$2,myMonth,2,FALSE),"Project Phase","3. PSA/RRA"),0)</f>
        <v>1</v>
      </c>
      <c r="X73" s="335">
        <f>IFERROR(GETPIVOTDATA("Project Phase",'YTD TEAM GR1'!$A$7,"Group",1,"rolename","JOEY Team","Project Type","PPSA","Project Phase","3. PSA/RRA"),0)</f>
        <v>1</v>
      </c>
      <c r="Y73" s="362">
        <f>IFERROR(GETPIVOTDATA("Project Phase",'YTD TEAM GR1'!$A$7,"Group",1,"rolename","JOEY Team","Project Type","PPSA","postingdate",VLOOKUP($B$2,myMonth,2,FALSE),"Project Phase","4. RAMP UP"),0)</f>
        <v>1</v>
      </c>
      <c r="Z73" s="363">
        <f>IFERROR(GETPIVOTDATA("Project Phase",'YTD TEAM GR1'!$A$7,"Group",1,"rolename","JOEY Team","Project Type","PPSA","Project Phase","4. RAMP UP"),0)</f>
        <v>3</v>
      </c>
      <c r="AA73" s="473">
        <f>IFERROR(GETPIVOTDATA("Project Phase",'YTD TEAM GR1'!$A$7,"Group",1,"rolename","JOEY Team","Project Type","PPSA","postingdate",VLOOKUP($B$2,myMonth,2,FALSE),"Project Phase","5. RP5 Closure"),0)</f>
        <v>0</v>
      </c>
      <c r="AB73" s="419">
        <f>IFERROR(GETPIVOTDATA("Project Phase",'YTD TEAM GR1'!$A$7,"Group",1,"rolename","JOEY Team","Project Type","PPSA","Project Phase","5. RP5 Closure"),0)</f>
        <v>0</v>
      </c>
    </row>
    <row r="74" spans="2:28" ht="15.75" thickBot="1"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723"/>
      <c r="P74" s="578" t="s">
        <v>86</v>
      </c>
      <c r="Q74" s="464">
        <f>IFERROR(GETPIVOTDATA("Project Phase",'YTD TEAM GR1'!$A$7,"Group",1,"rolename","Karl Team","Project Type","PPSA","postingdate",VLOOKUP($B$2,myMonth,2,FALSE),"Project Phase","RP1"),0)</f>
        <v>0</v>
      </c>
      <c r="R74" s="465">
        <f>IFERROR(GETPIVOTDATA("Project Phase",'YTD TEAM GR1'!$A$7,"Group",1,"rolename","Karl Team","Project Type","PPSA","Project Phase","RP1"),0)</f>
        <v>0</v>
      </c>
      <c r="S74" s="466">
        <f>IFERROR(GETPIVOTDATA("Project Phase",'YTD TEAM GR1'!$A$7,"Group",1,"rolename","Karl Team","Project Type","PPSA","postingdate",VLOOKUP($B$2,myMonth,2,FALSE),"Project Phase","1. RP2"),0)</f>
        <v>0</v>
      </c>
      <c r="T74" s="467">
        <f>IFERROR(GETPIVOTDATA("Project Phase",'YTD TEAM GR1'!$A$7,"Group",1,"rolename","Karl Team","Project Type","PPSA","Project Phase","1. RP2"),0)</f>
        <v>0</v>
      </c>
      <c r="U74" s="445">
        <f>IFERROR(GETPIVOTDATA("Project Phase",'YTD TEAM GR1'!$A$7,"Group",1,"rolename","KARL Team","Project Type","PPSA","postingdate",VLOOKUP($B$2,myMonth,2,FALSE),"Project Phase","1. RP2"),0)</f>
        <v>0</v>
      </c>
      <c r="V74" s="451">
        <f>IFERROR(GETPIVOTDATA("Project Phase",'YTD TEAM GR1'!$A$7,"Group",1,"rolename","KARL Team","Project Type","PPSA","Project Phase","1. RP2"),0)</f>
        <v>0</v>
      </c>
      <c r="W74" s="468">
        <f>IFERROR(GETPIVOTDATA("Project Phase",'YTD TEAM GR1'!$A$7,"Group",1,"rolename","KARL Team","Project Type","PPSA","postingdate",VLOOKUP($B$2,myMonth,2,FALSE),"Project Phase","3. PSA/RRA"),0)</f>
        <v>0</v>
      </c>
      <c r="X74" s="469">
        <f>IFERROR(GETPIVOTDATA("Project Phase",'YTD TEAM GR1'!$A$7,"Group",1,"rolename","KARL Team","Project Type","PPSA","Project Phase","3. PSA/RRA"),0)</f>
        <v>0</v>
      </c>
      <c r="Y74" s="470">
        <f>IFERROR(GETPIVOTDATA("Project Phase",'YTD TEAM GR1'!$A$7,"Group",1,"rolename","KARL Team","Project Type","PPSA","postingdate",VLOOKUP($B$2,myMonth,2,FALSE),"Project Phase","4. RAMP UP"),0)</f>
        <v>0</v>
      </c>
      <c r="Z74" s="476">
        <f>IFERROR(GETPIVOTDATA("Project Phase",'YTD TEAM GR1'!$A$7,"Group",1,"rolename","KARL Team","Project Type","PPSA","Project Phase","4. RAMP UP"),0)</f>
        <v>0</v>
      </c>
      <c r="AA74" s="474">
        <f>IFERROR(GETPIVOTDATA("Project Phase",'YTD TEAM GR1'!$A$7,"Group",1,"rolename","KARL Team","Project Type","PPSA","postingdate",VLOOKUP($B$2,myMonth,2,FALSE),"Project Phase","5. RP5 Closure"),0)</f>
        <v>0</v>
      </c>
      <c r="AB74" s="471">
        <f>IFERROR(GETPIVOTDATA("Project Phase",'YTD TEAM GR1'!$A$7,"Group",1,"rolename","KARL Team","Project Type","PPSA","Project Phase","5. RP5 Closure"),0)</f>
        <v>0</v>
      </c>
    </row>
    <row r="75" spans="2:28"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</row>
    <row r="76" spans="2:28"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</row>
    <row r="77" spans="2:28"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</row>
    <row r="78" spans="2:28"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</row>
    <row r="79" spans="2:28" ht="15.75" thickBot="1"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</row>
    <row r="80" spans="2:28" ht="15.75" thickBot="1">
      <c r="B80" s="404"/>
      <c r="C80" s="318"/>
      <c r="D80" s="755" t="s">
        <v>52</v>
      </c>
      <c r="E80" s="756"/>
      <c r="F80" s="757" t="s">
        <v>158</v>
      </c>
      <c r="G80" s="758"/>
      <c r="H80" s="755" t="s">
        <v>10</v>
      </c>
      <c r="I80" s="756"/>
      <c r="J80" s="757" t="s">
        <v>150</v>
      </c>
      <c r="K80" s="758"/>
      <c r="L80" s="755" t="s">
        <v>157</v>
      </c>
      <c r="M80" s="756"/>
      <c r="N80" s="724" t="s">
        <v>159</v>
      </c>
      <c r="O80" s="724" t="s">
        <v>160</v>
      </c>
      <c r="P80" s="287"/>
      <c r="Q80" s="287"/>
      <c r="R80" s="287"/>
      <c r="S80" s="287"/>
      <c r="T80" s="287"/>
      <c r="U80" s="287"/>
      <c r="V80" s="287"/>
      <c r="W80" s="287"/>
      <c r="X80" s="287"/>
      <c r="Y80" s="287"/>
      <c r="Z80" s="287"/>
      <c r="AA80" s="287"/>
      <c r="AB80" s="287"/>
    </row>
    <row r="81" spans="2:28" ht="15.75" thickBot="1">
      <c r="B81" s="404"/>
      <c r="C81" s="318"/>
      <c r="D81" s="378" t="s">
        <v>161</v>
      </c>
      <c r="E81" s="384" t="s">
        <v>64</v>
      </c>
      <c r="F81" s="379" t="s">
        <v>161</v>
      </c>
      <c r="G81" s="385" t="s">
        <v>64</v>
      </c>
      <c r="H81" s="380" t="s">
        <v>161</v>
      </c>
      <c r="I81" s="386" t="s">
        <v>64</v>
      </c>
      <c r="J81" s="379" t="s">
        <v>161</v>
      </c>
      <c r="K81" s="385" t="s">
        <v>64</v>
      </c>
      <c r="L81" s="381" t="s">
        <v>161</v>
      </c>
      <c r="M81" s="387" t="s">
        <v>64</v>
      </c>
      <c r="N81" s="725"/>
      <c r="O81" s="725"/>
      <c r="P81" s="287"/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</row>
    <row r="82" spans="2:28" ht="15.75" thickBot="1">
      <c r="B82" s="726" t="s">
        <v>162</v>
      </c>
      <c r="C82" s="314" t="s">
        <v>66</v>
      </c>
      <c r="D82" s="517">
        <f>IFERROR(GETPIVOTDATA(" PSA Failed",Other!$A$7,"Group",1,"SBU","EC","Project Type","OEM/ODM","postingdate",VLOOKUP($B$2,myMonth,2,FALSE)),0)</f>
        <v>0</v>
      </c>
      <c r="E82" s="518">
        <f>IFERROR(GETPIVOTDATA(" PSA Failed",Other!$A$7,"Group",1,"SBU","EC","Project Type","OEM/ODM"),0)</f>
        <v>0</v>
      </c>
      <c r="F82" s="523">
        <f>IFERROR(GETPIVOTDATA(" Delayed",Other!$A$7,"Group",1,"SBU","EC","Project Type","OEM/ODM","postingdate",VLOOKUP($B$2,myMonth,2,FALSE)),0)</f>
        <v>0</v>
      </c>
      <c r="G82" s="524">
        <f>IFERROR(GETPIVOTDATA(" Delayed",Other!$A$7,"Group",1,"SBU","EC","Project Type","OEM/ODM"),0)</f>
        <v>0</v>
      </c>
      <c r="H82" s="525">
        <f>IFERROR(GETPIVOTDATA(" RAMP UP Failed",Other!$A$7,"Group",1,"SBU","EC","Project Type","OEM/ODM","postingdate",VLOOKUP($B$2,myMonth,2,FALSE)),0)</f>
        <v>0</v>
      </c>
      <c r="I82" s="526">
        <f>IFERROR(GETPIVOTDATA(" RAMP UP Failed",Other!$A$7,"Group",1,"SBU","EC","Project Type","OEM/ODM"),0)</f>
        <v>0</v>
      </c>
      <c r="J82" s="523">
        <f>IFERROR(GETPIVOTDATA(" Price Variance",Other!$A$7,"Group",1,"SBU","EC","Project Type","OEM/ODM","postingdate",VLOOKUP($B$2,myMonth,2,FALSE)),0)</f>
        <v>0</v>
      </c>
      <c r="K82" s="524">
        <f>IFERROR(GETPIVOTDATA(" Price Variance",Other!$A$7,"Group",1,"SBU","EC","Project Type","OEM/ODM"),0)</f>
        <v>0</v>
      </c>
      <c r="L82" s="527">
        <f>IFERROR(GETPIVOTDATA(" RP5 Closure Failed",Other!$A$7,"Group",1,"SBU","EC","Project Type","OEM/ODM","postingdate",VLOOKUP($B$2,myMonth,2,FALSE)),0)</f>
        <v>0</v>
      </c>
      <c r="M82" s="406">
        <f>IFERROR(GETPIVOTDATA(" RP5 Closure Failed",Other!$A$7,"Group",1,"SBU","EC","Project Type","OEM/ODM"),0)</f>
        <v>0</v>
      </c>
      <c r="N82" s="597">
        <f>D82+F82+H82+J82+L82</f>
        <v>0</v>
      </c>
      <c r="O82" s="598">
        <f>E82+G82+I82+K82+M82</f>
        <v>0</v>
      </c>
      <c r="P82" s="287"/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</row>
    <row r="83" spans="2:28" ht="15.75" thickBot="1">
      <c r="B83" s="727"/>
      <c r="C83" s="315" t="s">
        <v>67</v>
      </c>
      <c r="D83" s="519">
        <f>IFERROR(GETPIVOTDATA(" PSA Failed",Other!$A$7,"Group",1,"SBU","FP","Project Type","OEM/ODM","postingdate",VLOOKUP($B$2,myMonth,2,FALSE)),0)</f>
        <v>0</v>
      </c>
      <c r="E83" s="520">
        <f>IFERROR(GETPIVOTDATA(" PSA Failed",Other!$A$7,"Group",1,"SBU","FP","Project Type","OEM/ODM"),0)</f>
        <v>0</v>
      </c>
      <c r="F83" s="528">
        <f>IFERROR(GETPIVOTDATA(" Delayed",Other!$A$7,"Group",1,"SBU","FP","Project Type","OEM/ODM","postingdate",VLOOKUP($B$2,myMonth,2,FALSE)),0)</f>
        <v>0</v>
      </c>
      <c r="G83" s="529">
        <f>IFERROR(GETPIVOTDATA(" Delayed",Other!$A$7,"Group",1,"SBU","FP","Project Type","OEM/ODM"),0)</f>
        <v>0</v>
      </c>
      <c r="H83" s="530">
        <f>IFERROR(GETPIVOTDATA(" RAMP UP Failed",Other!$A$7,"Group",1,"SBU","FP","Project Type","OEM/ODM","postingdate",VLOOKUP($B$2,myMonth,2,FALSE)),0)</f>
        <v>0</v>
      </c>
      <c r="I83" s="531">
        <f>IFERROR(GETPIVOTDATA(" RAMP UP Failed",Other!$A$7,"Group",1,"SBU","FP","Project Type","OEM/ODM"),0)</f>
        <v>0</v>
      </c>
      <c r="J83" s="528">
        <f>IFERROR(GETPIVOTDATA(" Price Variance",Other!$A$7,"Group",1,"SBU","FP","Project Type","OEM/ODM","postingdate",VLOOKUP($B$2,myMonth,2,FALSE)),0)</f>
        <v>0</v>
      </c>
      <c r="K83" s="529">
        <f>IFERROR(GETPIVOTDATA(" Price Variance",Other!$A$7,"Group",1,"SBU","FP","Project Type","OEM/ODM"),0)</f>
        <v>0</v>
      </c>
      <c r="L83" s="532">
        <f>IFERROR(GETPIVOTDATA(" RP5 Closure Failed",Other!$A$7,"Group",1,"SBU","FP","Project Type","OEM/ODM","postingdate",VLOOKUP($B$2,myMonth,2,FALSE)),0)</f>
        <v>0</v>
      </c>
      <c r="M83" s="407">
        <f>IFERROR(GETPIVOTDATA(" RP5 Closure Failed",Other!$A$7,"Group",1,"SBU","FP","Project Type","OEM/ODM"),0)</f>
        <v>0</v>
      </c>
      <c r="N83" s="390">
        <f t="shared" ref="N83:N91" si="53">D83+F83+H83+J83+L83</f>
        <v>0</v>
      </c>
      <c r="O83" s="383">
        <f t="shared" ref="O83:O91" si="54">E83+G83+I83+K83+M83</f>
        <v>0</v>
      </c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</row>
    <row r="84" spans="2:28" ht="15.75" thickBot="1">
      <c r="B84" s="727"/>
      <c r="C84" s="315" t="s">
        <v>68</v>
      </c>
      <c r="D84" s="519">
        <f>IFERROR(GETPIVOTDATA(" PSA Failed",Other!$A$7,"Group",1,"SBU","BnB","Project Type","OEM/ODM","postingdate",VLOOKUP($B$2,myMonth,2,FALSE)),0)</f>
        <v>0</v>
      </c>
      <c r="E84" s="520">
        <f>IFERROR(GETPIVOTDATA(" PSA Failed",Other!$A$7,"Group",1,"SBU","BnB","Project Type","OEM/ODM"),0)</f>
        <v>0</v>
      </c>
      <c r="F84" s="528">
        <f>IFERROR(GETPIVOTDATA(" Delayed",Other!$A$7,"Group",1,"SBU","BnB","Project Type","OEM/ODM","postingdate",VLOOKUP($B$2,myMonth,2,FALSE)),0)</f>
        <v>0</v>
      </c>
      <c r="G84" s="529">
        <f>IFERROR(GETPIVOTDATA(" Delayed",Other!$A$7,"Group",1,"SBU","BnB","Project Type","OEM/ODM"),0)</f>
        <v>0</v>
      </c>
      <c r="H84" s="530">
        <f>IFERROR(GETPIVOTDATA(" RAMP UP Failed",Other!$A$7,"Group",1,"SBU","BnB","Project Type","OEM/ODM","postingdate",VLOOKUP($B$2,myMonth,2,FALSE)),0)</f>
        <v>0</v>
      </c>
      <c r="I84" s="531">
        <f>IFERROR(GETPIVOTDATA(" RAMP UP Failed",Other!$A$7,"Group",1,"SBU","BnB","Project Type","OEM/ODM"),0)</f>
        <v>0</v>
      </c>
      <c r="J84" s="528">
        <f>IFERROR(GETPIVOTDATA(" Price Variance",Other!$A$7,"Group",1,"SBU","BnB","Project Type","OEM/ODM","postingdate",VLOOKUP($B$2,myMonth,2,FALSE)),0)</f>
        <v>0</v>
      </c>
      <c r="K84" s="529">
        <f>IFERROR(GETPIVOTDATA(" Price Variance",Other!$A$7,"Group",1,"SBU","BnB","Project Type","OEM/ODM"),0)</f>
        <v>0</v>
      </c>
      <c r="L84" s="532">
        <f>IFERROR(GETPIVOTDATA(" RP5 Closure Failed",Other!$A$7,"Group",1,"SBU","BnB","Project Type","OEM/ODM","postingdate",VLOOKUP($B$2,myMonth,2,FALSE)),0)</f>
        <v>0</v>
      </c>
      <c r="M84" s="407">
        <f>IFERROR(GETPIVOTDATA(" RP5 Closure Failed",Other!$A$7,"Group",1,"SBU","BnB","Project Type","OEM/ODM"),0)</f>
        <v>0</v>
      </c>
      <c r="N84" s="390">
        <f t="shared" si="53"/>
        <v>0</v>
      </c>
      <c r="O84" s="383">
        <f t="shared" si="54"/>
        <v>0</v>
      </c>
      <c r="P84" s="287"/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</row>
    <row r="85" spans="2:28" ht="15.75" thickBot="1">
      <c r="B85" s="727"/>
      <c r="C85" s="315" t="s">
        <v>69</v>
      </c>
      <c r="D85" s="519">
        <f>IFERROR(GETPIVOTDATA(" PSA Failed",Other!$A$7,"Group",1,"SBU","PC","Project Type","OEM/ODM","postingdate",VLOOKUP($B$2,myMonth,2,FALSE)),0)</f>
        <v>0</v>
      </c>
      <c r="E85" s="520">
        <f>IFERROR(GETPIVOTDATA(" PSA Failed",Other!$A$7,"Group",1,"SBU","PC","Project Type","OEM/ODM"),0)</f>
        <v>0</v>
      </c>
      <c r="F85" s="528">
        <f>IFERROR(GETPIVOTDATA(" Delayed",Other!$A$7,"Group",1,"SBU","PC","Project Type","OEM/ODM","postingdate",VLOOKUP($B$2,myMonth,2,FALSE)),0)</f>
        <v>0</v>
      </c>
      <c r="G85" s="529">
        <f>IFERROR(GETPIVOTDATA(" Delayed",Other!$A$7,"Group",1,"SBU","PC","Project Type","OEM/ODM"),0)</f>
        <v>0</v>
      </c>
      <c r="H85" s="530">
        <f>IFERROR(GETPIVOTDATA(" RAMP UP Failed",Other!$A$7,"Group",1,"SBU","PC","Project Type","OEM/ODM","postingdate",VLOOKUP($B$2,myMonth,2,FALSE)),0)</f>
        <v>0</v>
      </c>
      <c r="I85" s="531">
        <f>IFERROR(GETPIVOTDATA(" RAMP UP Failed",Other!$A$7,"Group",1,"SBU","PC","Project Type","OEM/ODM"),0)</f>
        <v>0</v>
      </c>
      <c r="J85" s="528">
        <f>IFERROR(GETPIVOTDATA(" Price Variance",Other!$A$7,"Group",1,"SBU","PC","Project Type","OEM/ODM","postingdate",VLOOKUP($B$2,myMonth,2,FALSE)),0)</f>
        <v>0</v>
      </c>
      <c r="K85" s="529">
        <f>IFERROR(GETPIVOTDATA(" Price Variance",Other!$A$7,"Group",1,"SBU","PC","Project Type","OEM/ODM"),0)</f>
        <v>0</v>
      </c>
      <c r="L85" s="532">
        <f>IFERROR(GETPIVOTDATA(" Delayed",Other!$A$7,"Group",1,"SBU","PC","Project Type","OEM/ODM","postingdate",VLOOKUP($B$2,myMonth,2,FALSE)),0)</f>
        <v>0</v>
      </c>
      <c r="M85" s="407">
        <f>IFERROR(GETPIVOTDATA(" RP5 Closure Failed",Other!$A$7,"Group",1,"SBU","PC","Project Type","OEM/ODM"),0)</f>
        <v>0</v>
      </c>
      <c r="N85" s="390">
        <f t="shared" si="53"/>
        <v>0</v>
      </c>
      <c r="O85" s="383">
        <f t="shared" si="54"/>
        <v>0</v>
      </c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</row>
    <row r="86" spans="2:28" ht="15.75" thickBot="1">
      <c r="B86" s="727"/>
      <c r="C86" s="315" t="s">
        <v>70</v>
      </c>
      <c r="D86" s="519">
        <f>IFERROR(GETPIVOTDATA(" PSA Failed",Other!$A$7,"Group",1,"SBU","LC","Project Type","OEM/ODM","postingdate",VLOOKUP($B$2,myMonth,2,FALSE)),0)</f>
        <v>0</v>
      </c>
      <c r="E86" s="520">
        <f>IFERROR(GETPIVOTDATA(" PSA Failed",Other!$A$7,"Group",1,"SBU","LC","Project Type","OEM/ODM"),0)</f>
        <v>0</v>
      </c>
      <c r="F86" s="528">
        <f>IFERROR(GETPIVOTDATA(" Delayed",Other!$A$7,"Group",1,"SBU","LC","Project Type","OEM/ODM","postingdate",VLOOKUP($B$2,myMonth,2,FALSE)),0)</f>
        <v>0</v>
      </c>
      <c r="G86" s="529">
        <f>IFERROR(GETPIVOTDATA(" Delayed",Other!$A$7,"Group",1,"SBU","LC","Project Type","OEM/ODM"),0)</f>
        <v>0</v>
      </c>
      <c r="H86" s="530">
        <f>IFERROR(GETPIVOTDATA(" RAMP UP Failed",Other!$A$7,"Group",1,"SBU","LC","Project Type","OEM/ODM","postingdate",VLOOKUP($B$2,myMonth,2,FALSE)),0)</f>
        <v>0</v>
      </c>
      <c r="I86" s="531">
        <f>IFERROR(GETPIVOTDATA(" RAMP UP Failed",Other!$A$7,"Group",1,"SBU","LC","Project Type","OEM/ODM"),0)</f>
        <v>0</v>
      </c>
      <c r="J86" s="528">
        <f>IFERROR(GETPIVOTDATA(" Price Variance",Other!$A$7,"Group",1,"SBU","LC","Project Type","OEM/ODM","postingdate",VLOOKUP($B$2,myMonth,2,FALSE)),0)</f>
        <v>0</v>
      </c>
      <c r="K86" s="529">
        <f>IFERROR(GETPIVOTDATA(" Price Variance",Other!$A$7,"Group",1,"SBU","LC","Project Type","OEM/ODM"),0)</f>
        <v>0</v>
      </c>
      <c r="L86" s="532">
        <f>IFERROR(GETPIVOTDATA(" RP5 Closure Failed",Other!$A$7,"Group",1,"SBU","LC","Project Type","OEM/ODM","postingdate",VLOOKUP($B$2,myMonth,2,FALSE)),0)</f>
        <v>0</v>
      </c>
      <c r="M86" s="407">
        <f>IFERROR(GETPIVOTDATA(" RP5 Closure Failed",Other!$A$7,"Group",1,"SBU","LC","Project Type","OEM/ODM"),0)</f>
        <v>0</v>
      </c>
      <c r="N86" s="390">
        <f t="shared" si="53"/>
        <v>0</v>
      </c>
      <c r="O86" s="383">
        <f t="shared" si="54"/>
        <v>0</v>
      </c>
      <c r="P86" s="287"/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</row>
    <row r="87" spans="2:28" ht="15.75" thickBot="1">
      <c r="B87" s="727"/>
      <c r="C87" s="315" t="s">
        <v>71</v>
      </c>
      <c r="D87" s="519">
        <f>IFERROR(GETPIVOTDATA(" PSA Failed",Other!$A$7,"Group",1,"SBU","H.Comf","Project Type","OEM/ODM","postingdate",VLOOKUP($B$2,myMonth,2,FALSE)),0)</f>
        <v>0</v>
      </c>
      <c r="E87" s="520">
        <f>IFERROR(GETPIVOTDATA(" PSA Failed",Other!$A$7,"Group",1,"SBU","H.Comf","Project Type","OEM/ODM"),0)</f>
        <v>0</v>
      </c>
      <c r="F87" s="528">
        <f>IFERROR(GETPIVOTDATA(" Delayed",Other!$A$7,"Group",1,"SBU","H.Comf","Project Type","OEM/ODM","postingdate",VLOOKUP($B$2,myMonth,2,FALSE)),0)</f>
        <v>0</v>
      </c>
      <c r="G87" s="529">
        <f>IFERROR(GETPIVOTDATA(" Delayed",Other!$A$7,"Group",1,"SBU","H.Comf","Project Type","OEM/ODM"),0)</f>
        <v>0</v>
      </c>
      <c r="H87" s="530">
        <f>IFERROR(GETPIVOTDATA(" RAMP UP Failed",Other!$A$7,"Group",1,"SBU","H.Comf","Project Type","OEM/ODM","postingdate",VLOOKUP($B$2,myMonth,2,FALSE)),0)</f>
        <v>0</v>
      </c>
      <c r="I87" s="531">
        <f>IFERROR(GETPIVOTDATA(" RAMP UP Failed",Other!$A$7,"Group",1,"SBU","H.Comf","Project Type","OEM/ODM"),0)</f>
        <v>0</v>
      </c>
      <c r="J87" s="528">
        <f>IFERROR(GETPIVOTDATA(" Price Variance",Other!$A$7,"Group",1,"SBU","H.Comf","Project Type","OEM/ODM","postingdate",VLOOKUP($B$2,myMonth,2,FALSE)),0)</f>
        <v>0</v>
      </c>
      <c r="K87" s="529">
        <f>IFERROR(GETPIVOTDATA(" Price Variance",Other!$A$7,"Group",1,"SBU","H.Comf","Project Type","OEM/ODM"),0)</f>
        <v>0</v>
      </c>
      <c r="L87" s="532">
        <f>IFERROR(GETPIVOTDATA(" RP5 Closure Failed",Other!$A$7,"Group",1,"SBU","H.Comf","Project Type","OEM/ODM","postingdate",VLOOKUP($B$2,myMonth,2,FALSE)),0)</f>
        <v>0</v>
      </c>
      <c r="M87" s="407">
        <f>IFERROR(GETPIVOTDATA(" RP5 Closure Failed",Other!$A$7,"Group",1,"SBU","H.Comf","Project Type","OEM/ODM"),0)</f>
        <v>0</v>
      </c>
      <c r="N87" s="390">
        <f t="shared" si="53"/>
        <v>0</v>
      </c>
      <c r="O87" s="383">
        <f t="shared" si="54"/>
        <v>0</v>
      </c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</row>
    <row r="88" spans="2:28" ht="15.75" thickBot="1">
      <c r="B88" s="727"/>
      <c r="C88" s="315" t="s">
        <v>72</v>
      </c>
      <c r="D88" s="519">
        <f>IFERROR(GETPIVOTDATA(" PSA Failed",Other!$A$7,"Group",1,"SBU","H.Clean","Project Type","OEM/ODM","postingdate",VLOOKUP($B$2,myMonth,2,FALSE)),0)</f>
        <v>0</v>
      </c>
      <c r="E88" s="520">
        <f>IFERROR(GETPIVOTDATA(" PSA Failed",Other!$A$7,"Group",1,"SBU","H.Clean","Project Type","OEM/ODM"),0)</f>
        <v>0</v>
      </c>
      <c r="F88" s="528">
        <f>IFERROR(GETPIVOTDATA(" Delayed",Other!$A$7,"Group",1,"SBU","H.Clean","Project Type","OEM/ODM","postingdate",VLOOKUP($B$2,myMonth,2,FALSE)),0)</f>
        <v>0</v>
      </c>
      <c r="G88" s="529">
        <f>IFERROR(GETPIVOTDATA(" Delayed",Other!$A$7,"Group",1,"SBU","H.Clean","Project Type","OEM/ODM"),0)</f>
        <v>0</v>
      </c>
      <c r="H88" s="530">
        <f>IFERROR(GETPIVOTDATA(" RAMP UP Failed",Other!$A$7,"Group",1,"SBU","H.Clean","Project Type","OEM/ODM","postingdate",VLOOKUP($B$2,myMonth,2,FALSE)),0)</f>
        <v>0</v>
      </c>
      <c r="I88" s="531">
        <f>IFERROR(GETPIVOTDATA(" RAMP UP Failed",Other!$A$7,"Group",1,"SBU","H.Clean","Project Type","OEM/ODM"),0)</f>
        <v>0</v>
      </c>
      <c r="J88" s="528">
        <f>IFERROR(GETPIVOTDATA(" Price Variance",Other!$A$7,"Group",1,"SBU","H.Clean","Project Type","OEM/ODM","postingdate",VLOOKUP($B$2,myMonth,2,FALSE)),0)</f>
        <v>0</v>
      </c>
      <c r="K88" s="529">
        <f>IFERROR(GETPIVOTDATA(" Price Variance",Other!$A$7,"Group",1,"SBU","H.Clean","Project Type","OEM/ODM"),0)</f>
        <v>0</v>
      </c>
      <c r="L88" s="532">
        <f>IFERROR(GETPIVOTDATA(" RP5 Closure Failed",Other!$A$7,"Group",1,"SBU","H.Clean","Project Type","OEM/ODM","postingdate",VLOOKUP($B$2,myMonth,2,FALSE)),0)</f>
        <v>0</v>
      </c>
      <c r="M88" s="407">
        <f>IFERROR(GETPIVOTDATA(" RP5 Closure Failed",Other!$A$7,"Group",1,"SBU","H.Clean","Project Type","OEM/ODM"),0)</f>
        <v>0</v>
      </c>
      <c r="N88" s="390">
        <f t="shared" si="53"/>
        <v>0</v>
      </c>
      <c r="O88" s="383">
        <f t="shared" si="54"/>
        <v>0</v>
      </c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</row>
    <row r="89" spans="2:28" ht="15.75" thickBot="1">
      <c r="B89" s="727"/>
      <c r="C89" s="315" t="s">
        <v>73</v>
      </c>
      <c r="D89" s="519">
        <f>IFERROR(GETPIVOTDATA(" PSA Failed",Other!$A$7,"Group",1,"SBU","CK","Project Type","OEM/ODM","postingdate",VLOOKUP($B$2,myMonth,2,FALSE)),0)</f>
        <v>0</v>
      </c>
      <c r="E89" s="520">
        <f>IFERROR(GETPIVOTDATA(" PSA Failed",Other!$A$7,"Group",1,"SBU","CK","Project Type","OEM/ODM"),0)</f>
        <v>0</v>
      </c>
      <c r="F89" s="528">
        <f>IFERROR(GETPIVOTDATA(" Delayed",Other!$A$7,"Group",1,"SBU","CK","Project Type","OEM/ODM","postingdate",VLOOKUP($B$2,myMonth,2,FALSE)),0)</f>
        <v>0</v>
      </c>
      <c r="G89" s="529">
        <f>IFERROR(GETPIVOTDATA(" Delayed",Other!$A$7,"Group",1,"SBU","CK","Project Type","OEM/ODM"),0)</f>
        <v>0</v>
      </c>
      <c r="H89" s="530">
        <f>IFERROR(GETPIVOTDATA(" RAMP UP Failed",Other!$A$7,"Group",1,"SBU","CK","Project Type","OEM/ODM","postingdate",VLOOKUP($B$2,myMonth,2,FALSE)),0)</f>
        <v>0</v>
      </c>
      <c r="I89" s="531">
        <f>IFERROR(GETPIVOTDATA(" RAMP UP Failed",Other!$A$7,"Group",1,"SBU","CK","Project Type","OEM/ODM"),0)</f>
        <v>0</v>
      </c>
      <c r="J89" s="528">
        <f>IFERROR(GETPIVOTDATA(" Price Variance",Other!$A$7,"Group",1,"SBU","CK","Project Type","OEM/ODM","postingdate",VLOOKUP($B$2,myMonth,2,FALSE)),0)</f>
        <v>0</v>
      </c>
      <c r="K89" s="529">
        <f>IFERROR(GETPIVOTDATA(" Price Variance",Other!$A$7,"Group",1,"SBU","CK","Project Type","OEM/ODM"),0)</f>
        <v>0</v>
      </c>
      <c r="L89" s="532">
        <f>IFERROR(GETPIVOTDATA(" RP5 Closure Failed",Other!$A$7,"Group",1,"SBU","CK","Project Type","OEM/ODM","postingdate",VLOOKUP($B$2,myMonth,2,FALSE)),0)</f>
        <v>0</v>
      </c>
      <c r="M89" s="407">
        <f>IFERROR(GETPIVOTDATA(" RP5 Closure Failed",Other!$A$7,"Group",1,"SBU","CK","Project Type","OEM/ODM"),0)</f>
        <v>0</v>
      </c>
      <c r="N89" s="390">
        <f t="shared" si="53"/>
        <v>0</v>
      </c>
      <c r="O89" s="383">
        <f t="shared" si="54"/>
        <v>0</v>
      </c>
      <c r="P89" s="287"/>
      <c r="Q89" s="287"/>
      <c r="R89" s="287"/>
      <c r="S89" s="287"/>
      <c r="T89" s="287"/>
      <c r="U89" s="287"/>
      <c r="V89" s="287"/>
      <c r="W89" s="287"/>
      <c r="X89" s="287"/>
      <c r="Y89" s="287"/>
      <c r="Z89" s="287"/>
      <c r="AA89" s="287"/>
      <c r="AB89" s="287"/>
    </row>
    <row r="90" spans="2:28" ht="15.75" thickBot="1">
      <c r="B90" s="727"/>
      <c r="C90" s="316" t="s">
        <v>74</v>
      </c>
      <c r="D90" s="519">
        <f>IFERROR(GETPIVOTDATA(" PSA Failed",Other!$A$7,"Group",1,"SBU","SA","Project Type","OEM/ODM","postingdate",VLOOKUP($B$2,myMonth,2,FALSE)),0)</f>
        <v>0</v>
      </c>
      <c r="E90" s="520">
        <f>IFERROR(GETPIVOTDATA(" PSA Failed",Other!$A$7,"Group",1,"SBU","SA","Project Type","OEM/ODM"),0)</f>
        <v>0</v>
      </c>
      <c r="F90" s="528">
        <f>IFERROR(GETPIVOTDATA(" Delayed",Other!$A$7,"Group",1,"SBU","SA","Project Type","OEM/ODM","postingdate",VLOOKUP($B$2,myMonth,2,FALSE)),0)</f>
        <v>0</v>
      </c>
      <c r="G90" s="529">
        <f>IFERROR(GETPIVOTDATA(" Delayed",Other!$A$7,"Group",1,"SBU","SA","Project Type","OEM/ODM"),0)</f>
        <v>0</v>
      </c>
      <c r="H90" s="530">
        <f>IFERROR(GETPIVOTDATA(" RAMP UP Failed",Other!$A$7,"Group",1,"SBU","SA","Project Type","OEM/ODM","postingdate",VLOOKUP($B$2,myMonth,2,FALSE)),0)</f>
        <v>0</v>
      </c>
      <c r="I90" s="531">
        <f>IFERROR(GETPIVOTDATA(" RAMP UP Failed",Other!$A$7,"Group",1,"SBU","SA","Project Type","OEM/ODM"),0)</f>
        <v>0</v>
      </c>
      <c r="J90" s="528">
        <f>IFERROR(GETPIVOTDATA(" Price Variance",Other!$A$7,"Group",1,"SBU","SA","Project Type","OEM/ODM","postingdate",VLOOKUP($B$2,myMonth,2,FALSE)),0)</f>
        <v>0</v>
      </c>
      <c r="K90" s="529">
        <f>IFERROR(GETPIVOTDATA(" Price Variance",Other!$A$7,"Group",1,"SBU","SA","Project Type","OEM/ODM"),0)</f>
        <v>0</v>
      </c>
      <c r="L90" s="532">
        <f>IFERROR(GETPIVOTDATA(" RP5 Closure Failed",Other!$A$7,"Group",1,"SBU","SA","Project Type","OEM/ODM","postingdate",VLOOKUP($B$2,myMonth,2,FALSE)),0)</f>
        <v>0</v>
      </c>
      <c r="M90" s="407">
        <f>IFERROR(GETPIVOTDATA(" RP5 Closure Failed",Other!$A$7,"Group",1,"SBU","SA","Project Type","OEM/ODM"),0)</f>
        <v>0</v>
      </c>
      <c r="N90" s="390">
        <f t="shared" si="53"/>
        <v>0</v>
      </c>
      <c r="O90" s="383">
        <f t="shared" si="54"/>
        <v>0</v>
      </c>
      <c r="P90" s="287"/>
      <c r="Q90" s="287"/>
      <c r="R90" s="287"/>
      <c r="S90" s="287"/>
      <c r="T90" s="287"/>
      <c r="U90" s="287"/>
      <c r="V90" s="287"/>
      <c r="W90" s="287"/>
      <c r="X90" s="287"/>
      <c r="Y90" s="287"/>
      <c r="Z90" s="287"/>
      <c r="AA90" s="287"/>
      <c r="AB90" s="287"/>
    </row>
    <row r="91" spans="2:28" ht="15.75" thickBot="1">
      <c r="B91" s="727"/>
      <c r="C91" s="316" t="s">
        <v>19</v>
      </c>
      <c r="D91" s="521">
        <f>IFERROR(GETPIVOTDATA(" PSA Failed",Other!$A$7,"Group",1,"Project Type","PPSA","postingdate",VLOOKUP($B$2,myMonth,2,FALSE)),0)</f>
        <v>0</v>
      </c>
      <c r="E91" s="522">
        <f>IFERROR(GETPIVOTDATA(" PSA Failed",Other!$A$7,"Group",1,"Project Type","PPSA"),0)</f>
        <v>1</v>
      </c>
      <c r="F91" s="533">
        <f>IFERROR(GETPIVOTDATA(" Delayed",Other!$A$7,"Group",1,"Project Type","PPSA","postingdate",VLOOKUP($B$2,myMonth,2,FALSE)),0)</f>
        <v>0</v>
      </c>
      <c r="G91" s="534">
        <f>IFERROR(GETPIVOTDATA(" Delayed",Other!$A$7,"Group",1,"Project Type","PPSA"),0)</f>
        <v>1</v>
      </c>
      <c r="H91" s="535">
        <f>IFERROR(GETPIVOTDATA(" RAMP UP Failed",Other!$A$7,"Group",1,"Project Type","PPSA","postingdate",VLOOKUP($B$2,myMonth,2,FALSE)),0)</f>
        <v>0</v>
      </c>
      <c r="I91" s="536">
        <f>IFERROR(GETPIVOTDATA(" RAMP UP Failed",Other!$A$7,"Group",1,"Project Type","PPSA"),0)</f>
        <v>0</v>
      </c>
      <c r="J91" s="533">
        <f>IFERROR(GETPIVOTDATA(" Price Variance",Other!$A$7,"Group",1,"Project Type","PPSA","postingdate",VLOOKUP($B$2,myMonth,2,FALSE)),0)</f>
        <v>0</v>
      </c>
      <c r="K91" s="534">
        <f>IFERROR(GETPIVOTDATA(" Price Variance",Other!$A$7,"Group",1,"Project Type","PPSA"),0)</f>
        <v>0</v>
      </c>
      <c r="L91" s="537">
        <f>IFERROR(GETPIVOTDATA(" RP5 Closure Failed",Other!$A$7,"Group",1,"Project Type","PPSA","postingdate",VLOOKUP($B$2,myMonth,2,FALSE)),0)</f>
        <v>0</v>
      </c>
      <c r="M91" s="408">
        <f>IFERROR(GETPIVOTDATA(" RP5 Closure Failed",Other!$A$7,"Group",1,"Project Type","PPSA"),0)</f>
        <v>0</v>
      </c>
      <c r="N91" s="599">
        <f t="shared" si="53"/>
        <v>0</v>
      </c>
      <c r="O91" s="600">
        <f t="shared" si="54"/>
        <v>2</v>
      </c>
      <c r="P91" s="287"/>
      <c r="Q91" s="287"/>
      <c r="R91" s="287"/>
      <c r="S91" s="287"/>
      <c r="T91" s="287"/>
      <c r="U91" s="287"/>
      <c r="V91" s="287"/>
      <c r="W91" s="287"/>
      <c r="X91" s="287"/>
      <c r="Y91" s="287"/>
      <c r="Z91" s="287"/>
      <c r="AA91" s="287"/>
      <c r="AB91" s="287"/>
    </row>
    <row r="92" spans="2:28" ht="15.75" thickBot="1">
      <c r="B92" s="727"/>
      <c r="C92" s="514" t="s">
        <v>163</v>
      </c>
      <c r="D92" s="368">
        <f>SUM(D82:D91)</f>
        <v>0</v>
      </c>
      <c r="E92" s="368">
        <f t="shared" ref="E92:O92" si="55">SUM(E82:E91)</f>
        <v>1</v>
      </c>
      <c r="F92" s="368">
        <f t="shared" si="55"/>
        <v>0</v>
      </c>
      <c r="G92" s="368">
        <f t="shared" si="55"/>
        <v>1</v>
      </c>
      <c r="H92" s="368">
        <f t="shared" si="55"/>
        <v>0</v>
      </c>
      <c r="I92" s="368">
        <f t="shared" si="55"/>
        <v>0</v>
      </c>
      <c r="J92" s="368">
        <f t="shared" si="55"/>
        <v>0</v>
      </c>
      <c r="K92" s="368">
        <f t="shared" si="55"/>
        <v>0</v>
      </c>
      <c r="L92" s="368">
        <f t="shared" si="55"/>
        <v>0</v>
      </c>
      <c r="M92" s="368">
        <f t="shared" si="55"/>
        <v>0</v>
      </c>
      <c r="N92" s="368">
        <f t="shared" si="55"/>
        <v>0</v>
      </c>
      <c r="O92" s="368">
        <f t="shared" si="55"/>
        <v>2</v>
      </c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7"/>
      <c r="AB92" s="287"/>
    </row>
    <row r="93" spans="2:28" ht="15.75" thickBot="1">
      <c r="B93" s="727"/>
      <c r="C93" s="545" t="s">
        <v>164</v>
      </c>
      <c r="D93" s="579">
        <f>GETPIVOTDATA(" PSA Failed",Other!$A$7,"Group",2,"SBU","Total KE","Project Type","PPSA","postingdate",VLOOKUP($B$2,myMonth,2,FALSE))</f>
        <v>0</v>
      </c>
      <c r="E93" s="580">
        <f>IFERROR(GETPIVOTDATA(" PSA Failed",Other!$A$7,"Group",2,"SBU","Total KE","Project Type","PPSA"),0)</f>
        <v>0</v>
      </c>
      <c r="F93" s="581">
        <f>GETPIVOTDATA(" Delayed",Other!$A$7,"Group",2,"SBU","Total KE","Project Type","PPSA","postingdate",VLOOKUP($B$2,myMonth,2,FALSE))</f>
        <v>0</v>
      </c>
      <c r="G93" s="582">
        <f>IFERROR(GETPIVOTDATA(" Delayed",Other!$A$7,"Group",2,"SBU","Total KE","Project Type","PPSA"),0)</f>
        <v>1</v>
      </c>
      <c r="H93" s="581">
        <f>GETPIVOTDATA(" RAMP UP Failed",Other!$A$7,"Group",2,"SBU","Total KE","Project Type","PPSA","postingdate",VLOOKUP($B$2,myMonth,2,FALSE))</f>
        <v>0</v>
      </c>
      <c r="I93" s="582">
        <f>IFERROR(GETPIVOTDATA(" RAMP UP Failed",Other!$A$7,"Group",2,"SBU","Total KE","Project Type","PPSA"),0)</f>
        <v>0</v>
      </c>
      <c r="J93" s="581">
        <f>GETPIVOTDATA(" Price Variance",Other!$A$7,"Group",2,"SBU","Total KE","Project Type","PPSA","postingdate",VLOOKUP($B$2,myMonth,2,FALSE))</f>
        <v>0</v>
      </c>
      <c r="K93" s="582">
        <f>IFERROR(GETPIVOTDATA(" Price Variance",Other!$A$7,"Group",2,"SBU","Total KE","Project Type","PPSA"),0)</f>
        <v>0</v>
      </c>
      <c r="L93" s="581">
        <f>GETPIVOTDATA(" RP5 Closure Failed",Other!$A$7,"Group",2,"SBU","Total KE","Project Type","PPSA","postingdate",VLOOKUP($B$2,myMonth,2,FALSE))</f>
        <v>0</v>
      </c>
      <c r="M93" s="580">
        <f>IFERROR(GETPIVOTDATA(" RP5 Closure Failed",Other!$A$7,"Group",2,"SBU","Total KE","Project Type","PPSA"),0)</f>
        <v>0</v>
      </c>
      <c r="N93" s="546">
        <f t="shared" ref="N93:N94" si="56">D93+F93+H93+J93+L93</f>
        <v>0</v>
      </c>
      <c r="O93" s="547">
        <f t="shared" ref="O93:O94" si="57">E93+G93+I93+K93+M93</f>
        <v>1</v>
      </c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</row>
    <row r="94" spans="2:28" ht="15.75" thickBot="1">
      <c r="B94" s="727"/>
      <c r="C94" s="550" t="s">
        <v>165</v>
      </c>
      <c r="D94" s="583">
        <f>GETPIVOTDATA(" PSA Failed",Other!$A$7,"Group",2,"SBU","Total HPC","Project Type","PPSA","postingdate",VLOOKUP($B$2,myMonth,2,FALSE))</f>
        <v>0</v>
      </c>
      <c r="E94" s="584">
        <f>IFERROR(GETPIVOTDATA(" PSA Failed",Other!$A$7,"Group",2,"SBU","Total HPC","Project Type","PPSA"),0)</f>
        <v>1</v>
      </c>
      <c r="F94" s="585">
        <f>GETPIVOTDATA(" Delayed",Other!$A$7,"Group",2,"SBU","Total HPC","Project Type","PPSA","postingdate",VLOOKUP($B$2,myMonth,2,FALSE))</f>
        <v>0</v>
      </c>
      <c r="G94" s="586">
        <f>IFERROR(GETPIVOTDATA(" Delayed",Other!$A$7,"Group",2,"SBU","Total HPC","Project Type","PPSA"),0)</f>
        <v>0</v>
      </c>
      <c r="H94" s="585">
        <f>GETPIVOTDATA(" RAMP UP Failed",Other!$A$7,"Group",2,"SBU","Total HPC","Project Type","PPSA","postingdate",VLOOKUP($B$2,myMonth,2,FALSE))</f>
        <v>0</v>
      </c>
      <c r="I94" s="586">
        <f>IFERROR(GETPIVOTDATA(" RAMP UP Failed",Other!$A$7,"Group",2,"SBU","Total HPC","Project Type","PPSA"),0)</f>
        <v>0</v>
      </c>
      <c r="J94" s="585">
        <f>GETPIVOTDATA(" Price Variance",Other!$A$7,"Group",2,"SBU","Total HPC","Project Type","PPSA","postingdate",VLOOKUP($B$2,myMonth,2,FALSE))</f>
        <v>0</v>
      </c>
      <c r="K94" s="586">
        <f>IFERROR(GETPIVOTDATA(" Price Variance",Other!$A$7,"Group",2,"SBU","Total HPC","Project Type","PPSA"),0)</f>
        <v>0</v>
      </c>
      <c r="L94" s="585">
        <f>GETPIVOTDATA(" RP5 Closure Failed",Other!$A$7,"Group",2,"SBU","Total HPC","Project Type","PPSA","postingdate",VLOOKUP($B$2,myMonth,2,FALSE))</f>
        <v>0</v>
      </c>
      <c r="M94" s="584">
        <f>IFERROR(GETPIVOTDATA(" RP5 Closure Failed",Other!$A$7,"Group",2,"SBU","Total HPC","Project Type","PPSA"),0)</f>
        <v>0</v>
      </c>
      <c r="N94" s="548">
        <f t="shared" si="56"/>
        <v>0</v>
      </c>
      <c r="O94" s="549">
        <f t="shared" si="57"/>
        <v>1</v>
      </c>
      <c r="P94" s="287"/>
      <c r="Q94" s="287"/>
      <c r="R94" s="287"/>
      <c r="S94" s="287"/>
      <c r="T94" s="287"/>
      <c r="U94" s="287"/>
      <c r="V94" s="287"/>
      <c r="W94" s="287"/>
      <c r="X94" s="287"/>
      <c r="Y94" s="287"/>
      <c r="Z94" s="287"/>
      <c r="AA94" s="287"/>
      <c r="AB94" s="287"/>
    </row>
    <row r="95" spans="2:28" ht="15.75" thickBot="1">
      <c r="B95" s="727"/>
      <c r="C95" s="513" t="s">
        <v>82</v>
      </c>
      <c r="D95" s="587">
        <f>IFERROR(GETPIVOTDATA(" PSA Failed",Other!$AO$7,"rolename","Allen Team","postingdate",VLOOKUP($B$2,myMonth,2,FALSE)),0)</f>
        <v>0</v>
      </c>
      <c r="E95" s="588">
        <f>GETPIVOTDATA(" PSA Failed",Other!$AO$7,"rolename","Allen Team")</f>
        <v>1</v>
      </c>
      <c r="F95" s="589">
        <f>IFERROR(GETPIVOTDATA(" Delayed",Other!$AO$7,"rolename","Allen Team","postingdate",VLOOKUP($B$2,myMonth,2,FALSE)),0)</f>
        <v>0</v>
      </c>
      <c r="G95" s="590">
        <f>GETPIVOTDATA(" Delayed",Other!$AO$7,"rolename","Allen Team")</f>
        <v>0</v>
      </c>
      <c r="H95" s="591">
        <f>IFERROR(GETPIVOTDATA(" RAMP UP Failed",Other!$AO$7,"rolename","Allen Team","postingdate",VLOOKUP($B$2,myMonth,2,FALSE)),0)</f>
        <v>0</v>
      </c>
      <c r="I95" s="592">
        <f>GETPIVOTDATA(" RAMP UP Failed",Other!$AO$7,"rolename","Allen Team")</f>
        <v>0</v>
      </c>
      <c r="J95" s="589">
        <f>IFERROR(GETPIVOTDATA(" Price Variance",Other!$AO$7,"rolename","Allen Team","postingdate",VLOOKUP($B$2,myMonth,2,FALSE)),0)</f>
        <v>0</v>
      </c>
      <c r="K95" s="590">
        <f>GETPIVOTDATA(" Price Variance",Other!$AO$7,"rolename","Allen Team")</f>
        <v>0</v>
      </c>
      <c r="L95" s="593">
        <f>IFERROR(GETPIVOTDATA(" RP5 Closure Failed",Other!$AO$7,"rolename","Allen Team","postingdate",VLOOKUP($B$2,myMonth,2,FALSE)),0)</f>
        <v>0</v>
      </c>
      <c r="M95" s="459">
        <f>GETPIVOTDATA(" RP5 Closure Failed",Other!$AO$7,"rolename","Allen Team")</f>
        <v>0</v>
      </c>
      <c r="N95" s="388">
        <f t="shared" ref="N95:N99" si="58">D95+F95+H95+J95+L95</f>
        <v>0</v>
      </c>
      <c r="O95" s="389">
        <f t="shared" ref="O95:O99" si="59">E95+G95+I95+K95+M95</f>
        <v>1</v>
      </c>
      <c r="P95" s="287"/>
      <c r="Q95" s="287"/>
      <c r="R95" s="287"/>
      <c r="S95" s="287"/>
      <c r="T95" s="287"/>
      <c r="U95" s="287"/>
      <c r="V95" s="287"/>
      <c r="W95" s="287"/>
      <c r="X95" s="287"/>
      <c r="Y95" s="287"/>
      <c r="Z95" s="287"/>
      <c r="AA95" s="287"/>
      <c r="AB95" s="287"/>
    </row>
    <row r="96" spans="2:28" ht="15.75" thickBot="1">
      <c r="B96" s="727"/>
      <c r="C96" s="382" t="s">
        <v>83</v>
      </c>
      <c r="D96" s="519">
        <f>IFERROR(GETPIVOTDATA(" PSA Failed",Other!$AO$7,"rolename","Brenda Team","postingdate",VLOOKUP($B$2,myMonth,2,FALSE)),0)</f>
        <v>0</v>
      </c>
      <c r="E96" s="520">
        <f>GETPIVOTDATA(" PSA Failed",Other!$AO$7,"rolename","Brenda Team")</f>
        <v>0</v>
      </c>
      <c r="F96" s="538">
        <f>IFERROR(GETPIVOTDATA(" Delayed",Other!$AO$7,"rolename","Brenda Team","postingdate",VLOOKUP($B$2,myMonth,2,FALSE)),0)</f>
        <v>0</v>
      </c>
      <c r="G96" s="529">
        <f>GETPIVOTDATA(" Delayed",Other!$AO$7,"rolename","Brenda Team")</f>
        <v>0</v>
      </c>
      <c r="H96" s="539">
        <f>IFERROR(GETPIVOTDATA(" RAMP UP Failed",Other!$AO$7,"rolename","Brenda Team","postingdate",VLOOKUP($B$2,myMonth,2,FALSE)),0)</f>
        <v>0</v>
      </c>
      <c r="I96" s="531">
        <f>GETPIVOTDATA(" RAMP UP Failed",Other!$AO$7,"rolename","Brenda Team")</f>
        <v>0</v>
      </c>
      <c r="J96" s="538">
        <f>IFERROR(GETPIVOTDATA(" Price Variance",Other!$AO$7,"rolename","Brenda Team","postingdate",VLOOKUP($B$2,myMonth,2,FALSE)),0)</f>
        <v>0</v>
      </c>
      <c r="K96" s="529">
        <f>GETPIVOTDATA(" Price Variance",Other!$AO$7,"rolename","Brenda Team")</f>
        <v>0</v>
      </c>
      <c r="L96" s="540">
        <f>IFERROR(GETPIVOTDATA(" RP5 Closure Failed",Other!$AO$7,"rolename","Brenda Team","postingdate",VLOOKUP($B$2,myMonth,2,FALSE)),0)</f>
        <v>0</v>
      </c>
      <c r="M96" s="407">
        <f>GETPIVOTDATA(" RP5 Closure Failed",Other!$AO$7,"rolename","Brenda Team")</f>
        <v>0</v>
      </c>
      <c r="N96" s="388">
        <f t="shared" si="58"/>
        <v>0</v>
      </c>
      <c r="O96" s="389">
        <f t="shared" si="59"/>
        <v>0</v>
      </c>
      <c r="P96" s="404"/>
      <c r="Q96" s="404"/>
      <c r="R96" s="404"/>
      <c r="S96" s="404"/>
      <c r="T96" s="404"/>
      <c r="U96" s="404"/>
      <c r="V96" s="404"/>
      <c r="W96" s="404"/>
      <c r="X96" s="404"/>
      <c r="Y96" s="404"/>
      <c r="Z96" s="404"/>
      <c r="AA96" s="404"/>
      <c r="AB96" s="404"/>
    </row>
    <row r="97" spans="2:28" ht="15.75" thickBot="1">
      <c r="B97" s="727"/>
      <c r="C97" s="382" t="s">
        <v>84</v>
      </c>
      <c r="D97" s="519">
        <f>IFERROR(GETPIVOTDATA(" PSA Failed",Other!$AO$7,"rolename","Gary Team","postingdate",VLOOKUP($B$2,myMonth,2,FALSE)),0)</f>
        <v>0</v>
      </c>
      <c r="E97" s="520">
        <f>GETPIVOTDATA(" PSA Failed",Other!$AO$7,"rolename","Gary Team")</f>
        <v>0</v>
      </c>
      <c r="F97" s="538">
        <f>IFERROR(GETPIVOTDATA(" Delayed",Other!$AO$7,"rolename","Gary Team","postingdate",VLOOKUP($B$2,myMonth,2,FALSE)),0)</f>
        <v>0</v>
      </c>
      <c r="G97" s="529">
        <f>GETPIVOTDATA(" Delayed",Other!$AO$7,"rolename","Gary Team")</f>
        <v>0</v>
      </c>
      <c r="H97" s="539">
        <f>IFERROR(GETPIVOTDATA(" RAMP UP Failed",Other!$AO$7,"rolename","Gary Team","postingdate",VLOOKUP($B$2,myMonth,2,FALSE)),0)</f>
        <v>0</v>
      </c>
      <c r="I97" s="531">
        <f>GETPIVOTDATA(" RAMP UP Failed",Other!$AO$7,"rolename","Gary Team")</f>
        <v>0</v>
      </c>
      <c r="J97" s="538">
        <f>IFERROR(GETPIVOTDATA(" Price Variance",Other!$AO$7,"rolename","Gary Team","postingdate",VLOOKUP($B$2,myMonth,2,FALSE)),0)</f>
        <v>0</v>
      </c>
      <c r="K97" s="529">
        <f>GETPIVOTDATA(" Price Variance",Other!$AO$7,"rolename","Gary Team")</f>
        <v>0</v>
      </c>
      <c r="L97" s="540">
        <f>IFERROR(GETPIVOTDATA(" RP5 Closure Failed",Other!$AO$7,"rolename","Gary Team","postingdate",VLOOKUP($B$2,myMonth,2,FALSE)),0)</f>
        <v>0</v>
      </c>
      <c r="M97" s="407">
        <f>GETPIVOTDATA(" RP5 Closure Failed",Other!$AO$7,"rolename","Gary Team")</f>
        <v>0</v>
      </c>
      <c r="N97" s="388">
        <f t="shared" si="58"/>
        <v>0</v>
      </c>
      <c r="O97" s="389">
        <f t="shared" si="59"/>
        <v>0</v>
      </c>
      <c r="P97" s="288"/>
      <c r="Q97" s="288"/>
      <c r="R97" s="288"/>
      <c r="S97" s="288"/>
      <c r="T97" s="288"/>
      <c r="U97" s="288"/>
      <c r="V97" s="317"/>
      <c r="W97" s="317"/>
      <c r="X97" s="404"/>
      <c r="Y97" s="404"/>
      <c r="Z97" s="404"/>
      <c r="AA97" s="288"/>
      <c r="AB97" s="288"/>
    </row>
    <row r="98" spans="2:28" ht="15.75" thickBot="1">
      <c r="B98" s="727"/>
      <c r="C98" s="515" t="s">
        <v>85</v>
      </c>
      <c r="D98" s="519">
        <f>IFERROR(GETPIVOTDATA(" PSA Failed",Other!$AO$7,"rolename","Joey Team","postingdate",VLOOKUP($B$2,myMonth,2,FALSE)),0)</f>
        <v>0</v>
      </c>
      <c r="E98" s="520">
        <f>GETPIVOTDATA(" PSA Failed",Other!$AO$7,"rolename","Joey Team")</f>
        <v>0</v>
      </c>
      <c r="F98" s="538">
        <f>IFERROR(GETPIVOTDATA(" Delayed",Other!$AO$7,"rolename","Joey Team","postingdate",VLOOKUP($B$2,myMonth,2,FALSE)),0)</f>
        <v>0</v>
      </c>
      <c r="G98" s="529">
        <f>GETPIVOTDATA(" Delayed",Other!$AO$7,"rolename","Joey Team")</f>
        <v>1</v>
      </c>
      <c r="H98" s="539">
        <f>IFERROR(GETPIVOTDATA(" RAMP UP Failed",Other!$AO$7,"rolename","Joey Team","postingdate",VLOOKUP($B$2,myMonth,2,FALSE)),0)</f>
        <v>0</v>
      </c>
      <c r="I98" s="531">
        <f>GETPIVOTDATA(" RAMP UP Failed",Other!$AO$7,"rolename","Joey Team")</f>
        <v>0</v>
      </c>
      <c r="J98" s="538">
        <f>IFERROR(GETPIVOTDATA(" Price Variance",Other!$AO$7,"rolename","Joey Team","postingdate",VLOOKUP($B$2,myMonth,2,FALSE)),0)</f>
        <v>0</v>
      </c>
      <c r="K98" s="529">
        <f>GETPIVOTDATA(" Price Variance",Other!$AO$7,"rolename","Joey Team")</f>
        <v>0</v>
      </c>
      <c r="L98" s="540">
        <f>IFERROR(GETPIVOTDATA(" RP5 Closure Failed",Other!$AO$7,"rolename","Joey Team","postingdate",VLOOKUP($B$2,myMonth,2,FALSE)),0)</f>
        <v>0</v>
      </c>
      <c r="M98" s="407">
        <f>GETPIVOTDATA(" RP5 Closure Failed",Other!$AO$7,"rolename","Joey Team")</f>
        <v>0</v>
      </c>
      <c r="N98" s="390">
        <f t="shared" si="58"/>
        <v>0</v>
      </c>
      <c r="O98" s="383">
        <f t="shared" si="59"/>
        <v>1</v>
      </c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</row>
    <row r="99" spans="2:28" ht="15.75" thickBot="1">
      <c r="B99" s="728"/>
      <c r="C99" s="516" t="s">
        <v>86</v>
      </c>
      <c r="D99" s="541">
        <f>IFERROR(GETPIVOTDATA(" PSA Failed",Other!$AO$7,"rolename","Karl Team","postingdate",VLOOKUP($B$2,myMonth,2,FALSE)),0)</f>
        <v>0</v>
      </c>
      <c r="E99" s="594">
        <f>GETPIVOTDATA(" PSA Failed",Other!$AO$7,"rolename","Karl Team")</f>
        <v>0</v>
      </c>
      <c r="F99" s="542">
        <f>IFERROR(GETPIVOTDATA(" Delayed",Other!$AO$7,"rolename","Karl Team","postingdate",VLOOKUP($B$2,myMonth,2,FALSE)),0)</f>
        <v>0</v>
      </c>
      <c r="G99" s="595">
        <f>GETPIVOTDATA(" Delayed",Other!$AO$7,"rolename","Karl Team")</f>
        <v>0</v>
      </c>
      <c r="H99" s="543">
        <f>IFERROR(GETPIVOTDATA(" RAMP UP Failed",Other!$AO$7,"rolename","Karl Team","postingdate",VLOOKUP($B$2,myMonth,2,FALSE)),0)</f>
        <v>0</v>
      </c>
      <c r="I99" s="596">
        <f>GETPIVOTDATA(" RAMP UP Failed",Other!$AO$7,"rolename","Karl Team")</f>
        <v>0</v>
      </c>
      <c r="J99" s="542">
        <f>IFERROR(GETPIVOTDATA(" Price Variance",Other!$AO$7,"rolename","Karl Team","postingdate",VLOOKUP($B$2,myMonth,2,FALSE)),0)</f>
        <v>0</v>
      </c>
      <c r="K99" s="595">
        <f>GETPIVOTDATA(" Price Variance",Other!$AO$7,"rolename","Karl Team")</f>
        <v>0</v>
      </c>
      <c r="L99" s="544">
        <f>IFERROR(GETPIVOTDATA(" RP5 Closure Failed",Other!$AO$7,"rolename","Karl Team","postingdate",VLOOKUP($B$2,myMonth,2,FALSE)),0)</f>
        <v>0</v>
      </c>
      <c r="M99" s="461">
        <f>GETPIVOTDATA(" RP5 Closure Failed",Other!$AO$7,"rolename","Karl Team")</f>
        <v>0</v>
      </c>
      <c r="N99" s="321">
        <f t="shared" si="58"/>
        <v>0</v>
      </c>
      <c r="O99" s="392">
        <f t="shared" si="59"/>
        <v>0</v>
      </c>
      <c r="P99" s="288"/>
      <c r="Q99" s="288"/>
      <c r="R99" s="288"/>
      <c r="S99" s="288"/>
      <c r="T99" s="288"/>
      <c r="U99" s="288"/>
      <c r="V99" s="318"/>
      <c r="W99" s="318"/>
      <c r="X99" s="288"/>
      <c r="Y99" s="288"/>
      <c r="Z99" s="288"/>
      <c r="AA99" s="288"/>
      <c r="AB99" s="288"/>
    </row>
    <row r="100" spans="2:28">
      <c r="B100" s="635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327"/>
      <c r="W100" s="327"/>
      <c r="X100" s="288"/>
      <c r="Y100" s="288"/>
      <c r="Z100" s="288"/>
      <c r="AA100" s="288"/>
      <c r="AB100" s="288"/>
    </row>
    <row r="101" spans="2:28">
      <c r="B101" s="634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404"/>
      <c r="Q101" s="404"/>
      <c r="R101" s="404"/>
      <c r="S101" s="404"/>
      <c r="T101" s="404"/>
      <c r="U101" s="288"/>
      <c r="V101" s="327"/>
      <c r="W101" s="327"/>
      <c r="X101" s="288"/>
      <c r="Y101" s="288"/>
      <c r="Z101" s="288"/>
      <c r="AA101" s="288"/>
      <c r="AB101" s="288"/>
    </row>
    <row r="102" spans="2:28">
      <c r="B102" s="409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404"/>
      <c r="Q102" s="404"/>
      <c r="R102" s="404"/>
      <c r="S102" s="404"/>
      <c r="T102" s="404"/>
      <c r="U102" s="288"/>
      <c r="V102" s="404"/>
      <c r="W102" s="404"/>
      <c r="X102" s="288"/>
      <c r="Y102" s="288"/>
      <c r="Z102" s="288"/>
      <c r="AA102" s="288"/>
      <c r="AB102" s="288"/>
    </row>
    <row r="103" spans="2:28">
      <c r="B103" s="327"/>
      <c r="C103" s="404"/>
      <c r="D103" s="404"/>
      <c r="E103" s="404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4"/>
      <c r="R103" s="404"/>
      <c r="S103" s="404"/>
      <c r="T103" s="404"/>
      <c r="U103" s="288"/>
      <c r="V103" s="404"/>
      <c r="W103" s="404"/>
      <c r="X103" s="288"/>
      <c r="Y103" s="288"/>
      <c r="Z103" s="288"/>
      <c r="AA103" s="288"/>
      <c r="AB103" s="288"/>
    </row>
    <row r="104" spans="2:28"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404"/>
      <c r="Q104" s="404"/>
      <c r="R104" s="404"/>
      <c r="S104" s="404"/>
      <c r="T104" s="404"/>
      <c r="U104" s="288"/>
      <c r="V104" s="404"/>
      <c r="W104" s="404"/>
      <c r="X104" s="288"/>
      <c r="Y104" s="288"/>
      <c r="Z104" s="288"/>
      <c r="AA104" s="288"/>
      <c r="AB104" s="288"/>
    </row>
    <row r="105" spans="2:28" ht="15.75" thickBot="1"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404"/>
      <c r="Q105" s="404"/>
      <c r="R105" s="404"/>
      <c r="S105" s="404"/>
      <c r="T105" s="404"/>
      <c r="U105" s="288"/>
      <c r="V105" s="404"/>
      <c r="W105" s="404"/>
      <c r="X105" s="288"/>
      <c r="Y105" s="288"/>
      <c r="Z105" s="288"/>
      <c r="AA105" s="288"/>
      <c r="AB105" s="288"/>
    </row>
    <row r="106" spans="2:28" ht="15.75" thickBot="1">
      <c r="B106" s="736" t="str">
        <f>CONCATENATE("Total Project Number (Signed) by Month in ",B3)</f>
        <v>Total Project Number (Signed) by Month in 2015</v>
      </c>
      <c r="C106" s="737"/>
      <c r="D106" s="737"/>
      <c r="E106" s="737"/>
      <c r="F106" s="737"/>
      <c r="G106" s="738"/>
      <c r="H106" s="288"/>
      <c r="I106" s="288"/>
      <c r="J106" s="288"/>
      <c r="K106" s="288"/>
      <c r="L106" s="288"/>
      <c r="M106" s="288"/>
      <c r="N106" s="288"/>
      <c r="O106" s="288"/>
      <c r="P106" s="404"/>
      <c r="Q106" s="404"/>
      <c r="R106" s="404"/>
      <c r="S106" s="404"/>
      <c r="T106" s="404"/>
      <c r="U106" s="288"/>
      <c r="V106" s="404"/>
      <c r="W106" s="404"/>
      <c r="X106" s="288"/>
      <c r="Y106" s="288"/>
      <c r="Z106" s="288"/>
      <c r="AA106" s="288"/>
      <c r="AB106" s="288"/>
    </row>
    <row r="107" spans="2:28" ht="26.25" thickBot="1">
      <c r="B107" s="551"/>
      <c r="C107" s="552"/>
      <c r="D107" s="553" t="s">
        <v>6</v>
      </c>
      <c r="E107" s="553" t="s">
        <v>7</v>
      </c>
      <c r="F107" s="554" t="s">
        <v>11</v>
      </c>
      <c r="G107" s="555" t="s">
        <v>166</v>
      </c>
      <c r="H107" s="288"/>
      <c r="I107" s="288"/>
      <c r="J107" s="288"/>
      <c r="K107" s="288"/>
      <c r="L107" s="288"/>
      <c r="M107" s="288"/>
      <c r="N107" s="288"/>
      <c r="O107" s="288"/>
      <c r="P107" s="404"/>
      <c r="Q107" s="404"/>
      <c r="R107" s="404"/>
      <c r="S107" s="404"/>
      <c r="T107" s="404"/>
      <c r="U107" s="288"/>
      <c r="V107" s="404"/>
      <c r="W107" s="404"/>
      <c r="X107" s="288"/>
      <c r="Y107" s="288"/>
      <c r="Z107" s="288"/>
      <c r="AA107" s="288"/>
      <c r="AB107" s="288"/>
    </row>
    <row r="108" spans="2:28">
      <c r="B108" s="739" t="s">
        <v>167</v>
      </c>
      <c r="C108" s="306" t="s">
        <v>91</v>
      </c>
      <c r="D108" s="309">
        <f>IFERROR(GETPIVOTDATA("Project Phase",'YTD SBU'!$A$7,"Group",1,"postingdate",1,"Project Phase","1. RP2"),0)</f>
        <v>13</v>
      </c>
      <c r="E108" s="309">
        <f>IFERROR(GETPIVOTDATA("Project Phase",'YTD SBU'!$A$7,"Group",1,"postingdate",1,"Project Phase","2. RP4"),0)</f>
        <v>10</v>
      </c>
      <c r="F108" s="309">
        <f>IFERROR(GETPIVOTDATA("Project Phase",'YTD SBU'!$A$7,"Group",1,"postingdate",1,"Project Phase","5. RP5 Closure"),0)</f>
        <v>4</v>
      </c>
      <c r="G108" s="307">
        <f>SUM(D108:F108)</f>
        <v>27</v>
      </c>
      <c r="H108" s="288"/>
      <c r="I108" s="288"/>
      <c r="J108" s="288"/>
      <c r="K108" s="288"/>
      <c r="L108" s="288"/>
      <c r="M108" s="288"/>
      <c r="N108" s="288"/>
      <c r="O108" s="288"/>
      <c r="P108" s="404"/>
      <c r="Q108" s="404"/>
      <c r="R108" s="404"/>
      <c r="S108" s="404"/>
      <c r="T108" s="404"/>
      <c r="U108" s="288"/>
      <c r="V108" s="404"/>
      <c r="W108" s="404"/>
      <c r="X108" s="288"/>
      <c r="Y108" s="288"/>
      <c r="Z108" s="288"/>
      <c r="AA108" s="288"/>
      <c r="AB108" s="288"/>
    </row>
    <row r="109" spans="2:28">
      <c r="B109" s="740"/>
      <c r="C109" s="308" t="s">
        <v>92</v>
      </c>
      <c r="D109" s="309">
        <f>IFERROR(GETPIVOTDATA("Project Phase",'YTD SBU'!$A$7,"Group",1,"postingdate",2,"Project Phase","1. RP2"),0)</f>
        <v>11</v>
      </c>
      <c r="E109" s="309">
        <f>IFERROR(GETPIVOTDATA("Project Phase",'YTD SBU'!$A$7,"Group",1,"postingdate",2,"Project Phase","2. RP4"),0)</f>
        <v>6</v>
      </c>
      <c r="F109" s="309">
        <f>IFERROR(GETPIVOTDATA("Project Phase",'YTD SBU'!$A$7,"Group",1,"postingdate",2,"Project Phase","5. RP5 Closure"),0)</f>
        <v>1</v>
      </c>
      <c r="G109" s="307">
        <f t="shared" ref="G109:G119" si="60">SUM(D109:F109)</f>
        <v>18</v>
      </c>
      <c r="H109" s="288"/>
      <c r="I109" s="288"/>
      <c r="J109" s="288"/>
      <c r="K109" s="288"/>
      <c r="L109" s="288"/>
      <c r="M109" s="288"/>
      <c r="N109" s="288"/>
      <c r="O109" s="288"/>
      <c r="P109" s="404"/>
      <c r="Q109" s="404"/>
      <c r="R109" s="404"/>
      <c r="S109" s="404"/>
      <c r="T109" s="404"/>
      <c r="U109" s="288"/>
      <c r="V109" s="404"/>
      <c r="W109" s="404"/>
      <c r="X109" s="288"/>
      <c r="Y109" s="288"/>
      <c r="Z109" s="288"/>
      <c r="AA109" s="288"/>
      <c r="AB109" s="288"/>
    </row>
    <row r="110" spans="2:28">
      <c r="B110" s="740"/>
      <c r="C110" s="308" t="s">
        <v>168</v>
      </c>
      <c r="D110" s="309">
        <f>IFERROR(GETPIVOTDATA("Project Phase",'YTD SBU'!$A$7,"Group",1,"postingdate",3,"Project Phase","1. RP2"),0)</f>
        <v>0</v>
      </c>
      <c r="E110" s="309">
        <f>IFERROR(GETPIVOTDATA("Project Phase",'YTD SBU'!$A$7,"Group",1,"postingdate",3,"Project Phase","2. RP4"),0)</f>
        <v>0</v>
      </c>
      <c r="F110" s="309">
        <f>IFERROR(GETPIVOTDATA("Project Phase",'YTD SBU'!$A$7,"Group",1,"postingdate",3,"Project Phase","5. RP5 Closure"),0)</f>
        <v>0</v>
      </c>
      <c r="G110" s="307">
        <f t="shared" si="60"/>
        <v>0</v>
      </c>
      <c r="H110" s="288"/>
      <c r="I110" s="288"/>
      <c r="J110" s="288"/>
      <c r="K110" s="288"/>
      <c r="L110" s="288"/>
      <c r="M110" s="288"/>
      <c r="N110" s="288"/>
      <c r="O110" s="288"/>
      <c r="P110" s="404"/>
      <c r="Q110" s="404"/>
      <c r="R110" s="404"/>
      <c r="S110" s="404"/>
      <c r="T110" s="404"/>
      <c r="U110" s="288"/>
      <c r="V110" s="404"/>
      <c r="W110" s="404"/>
      <c r="X110" s="288"/>
      <c r="Y110" s="288"/>
      <c r="Z110" s="288"/>
      <c r="AA110" s="288"/>
      <c r="AB110" s="288"/>
    </row>
    <row r="111" spans="2:28">
      <c r="B111" s="740"/>
      <c r="C111" s="308" t="s">
        <v>169</v>
      </c>
      <c r="D111" s="309">
        <f>IFERROR(GETPIVOTDATA("Project Phase",'YTD SBU'!$A$7,"Group",1,"postingdate",4,"Project Phase","1. RP2"),0)</f>
        <v>0</v>
      </c>
      <c r="E111" s="309">
        <f>IFERROR(GETPIVOTDATA("Project Phase",'YTD SBU'!$A$7,"Group",1,"postingdate",4,"Project Phase","2. RP4"),0)</f>
        <v>0</v>
      </c>
      <c r="F111" s="309">
        <f>IFERROR(GETPIVOTDATA("Project Phase",'YTD SBU'!$A$7,"Group",1,"postingdate",4,"Project Phase","5. RP5 Closure"),0)</f>
        <v>0</v>
      </c>
      <c r="G111" s="307">
        <f t="shared" si="60"/>
        <v>0</v>
      </c>
      <c r="H111" s="288"/>
      <c r="I111" s="288"/>
      <c r="J111" s="288"/>
      <c r="K111" s="288"/>
      <c r="L111" s="288"/>
      <c r="M111" s="288"/>
      <c r="N111" s="288"/>
      <c r="O111" s="288"/>
      <c r="P111" s="404"/>
      <c r="Q111" s="404"/>
      <c r="R111" s="404"/>
      <c r="S111" s="404"/>
      <c r="T111" s="404"/>
      <c r="U111" s="288"/>
      <c r="V111" s="404"/>
      <c r="W111" s="404"/>
      <c r="X111" s="288"/>
      <c r="Y111" s="288"/>
      <c r="Z111" s="288"/>
      <c r="AA111" s="288"/>
      <c r="AB111" s="288"/>
    </row>
    <row r="112" spans="2:28">
      <c r="B112" s="740"/>
      <c r="C112" s="308" t="s">
        <v>170</v>
      </c>
      <c r="D112" s="309">
        <f>IFERROR(GETPIVOTDATA("Project Phase",'YTD SBU'!$A$7,"Group",1,"postingdate",5,"Project Phase","1. RP2"),0)</f>
        <v>0</v>
      </c>
      <c r="E112" s="309">
        <f>IFERROR(GETPIVOTDATA("Project Phase",'YTD SBU'!$A$7,"Group",1,"postingdate",5,"Project Phase","2. RP4"),0)</f>
        <v>0</v>
      </c>
      <c r="F112" s="309">
        <f>IFERROR(GETPIVOTDATA("Project Phase",'YTD SBU'!$A$7,"Group",1,"postingdate",5,"Project Phase","5. RP5 Closure"),0)</f>
        <v>0</v>
      </c>
      <c r="G112" s="307">
        <f t="shared" si="60"/>
        <v>0</v>
      </c>
      <c r="H112" s="404"/>
      <c r="I112" s="404"/>
      <c r="J112" s="404"/>
      <c r="K112" s="404"/>
      <c r="L112" s="404"/>
      <c r="M112" s="404"/>
      <c r="N112" s="404"/>
      <c r="O112" s="404"/>
      <c r="P112" s="404"/>
      <c r="Q112" s="404"/>
      <c r="R112" s="404"/>
      <c r="S112" s="404"/>
      <c r="T112" s="404"/>
      <c r="U112" s="288"/>
      <c r="V112" s="327"/>
      <c r="W112" s="327"/>
      <c r="X112" s="287"/>
      <c r="Y112" s="287"/>
      <c r="Z112" s="287"/>
      <c r="AA112" s="287"/>
      <c r="AB112" s="287"/>
    </row>
    <row r="113" spans="2:28">
      <c r="B113" s="740"/>
      <c r="C113" s="308" t="s">
        <v>171</v>
      </c>
      <c r="D113" s="309">
        <f>IFERROR(GETPIVOTDATA("Project Phase",'YTD SBU'!$A$7,"Group",1,"postingdate",6,"Project Phase","1. RP2"),0)</f>
        <v>0</v>
      </c>
      <c r="E113" s="309">
        <f>IFERROR(GETPIVOTDATA("Project Phase",'YTD SBU'!$A$7,"Group",1,"postingdate",6,"Project Phase","2. RP4"),0)</f>
        <v>0</v>
      </c>
      <c r="F113" s="309">
        <f>IFERROR(GETPIVOTDATA("Project Phase",'YTD SBU'!$A$7,"Group",1,"postingdate",6,"Project Phase","5. RP5 Closure"),0)</f>
        <v>0</v>
      </c>
      <c r="G113" s="307">
        <f t="shared" si="60"/>
        <v>0</v>
      </c>
      <c r="H113" s="404"/>
      <c r="I113" s="404"/>
      <c r="J113" s="404"/>
      <c r="K113" s="404"/>
      <c r="L113" s="404"/>
      <c r="M113" s="404"/>
      <c r="N113" s="404"/>
      <c r="O113" s="404"/>
      <c r="P113" s="404"/>
      <c r="Q113" s="404"/>
      <c r="R113" s="404"/>
      <c r="S113" s="404"/>
      <c r="T113" s="404"/>
      <c r="U113" s="288"/>
      <c r="V113" s="327"/>
      <c r="W113" s="327"/>
      <c r="X113" s="287"/>
      <c r="Y113" s="287"/>
      <c r="Z113" s="287"/>
      <c r="AA113" s="287"/>
      <c r="AB113" s="287"/>
    </row>
    <row r="114" spans="2:28">
      <c r="B114" s="740"/>
      <c r="C114" s="308" t="s">
        <v>172</v>
      </c>
      <c r="D114" s="309">
        <f>IFERROR(GETPIVOTDATA("Project Phase",'YTD SBU'!$A$7,"Group",1,"postingdate",7,"Project Phase","1. RP2"),0)</f>
        <v>0</v>
      </c>
      <c r="E114" s="309">
        <f>IFERROR(GETPIVOTDATA("Project Phase",'YTD SBU'!$A$7,"Group",1,"postingdate",7,"Project Phase","2. RP4"),0)</f>
        <v>0</v>
      </c>
      <c r="F114" s="309">
        <f>IFERROR(GETPIVOTDATA("Project Phase",'YTD SBU'!$A$7,"Group",1,"postingdate",7,"Project Phase","5. RP5 Closure"),0)</f>
        <v>0</v>
      </c>
      <c r="G114" s="307">
        <f t="shared" si="60"/>
        <v>0</v>
      </c>
      <c r="H114" s="288"/>
      <c r="I114" s="288"/>
      <c r="J114" s="288"/>
      <c r="K114" s="288"/>
      <c r="L114" s="288"/>
      <c r="M114" s="288"/>
      <c r="N114" s="288"/>
      <c r="O114" s="288"/>
      <c r="P114" s="404"/>
      <c r="Q114" s="404"/>
      <c r="R114" s="404"/>
      <c r="S114" s="404"/>
      <c r="T114" s="404"/>
      <c r="U114" s="288"/>
      <c r="V114" s="327"/>
      <c r="W114" s="327"/>
      <c r="X114" s="287"/>
      <c r="Y114" s="287"/>
      <c r="Z114" s="287"/>
      <c r="AA114" s="287"/>
      <c r="AB114" s="287"/>
    </row>
    <row r="115" spans="2:28">
      <c r="B115" s="740"/>
      <c r="C115" s="308" t="s">
        <v>173</v>
      </c>
      <c r="D115" s="309">
        <f>IFERROR(GETPIVOTDATA("Project Phase",'YTD SBU'!$A$7,"Group",1,"postingdate",8,"Project Phase","1. RP2"),0)</f>
        <v>0</v>
      </c>
      <c r="E115" s="309">
        <f>IFERROR(GETPIVOTDATA("Project Phase",'YTD SBU'!$A$7,"Group",1,"postingdate",8,"Project Phase","2. RP4"),0)</f>
        <v>0</v>
      </c>
      <c r="F115" s="309">
        <f>IFERROR(GETPIVOTDATA("Project Phase",'YTD SBU'!$A$7,"Group",1,"postingdate",8,"Project Phase","5. RP5 Closure"),0)</f>
        <v>0</v>
      </c>
      <c r="G115" s="307">
        <f t="shared" si="60"/>
        <v>0</v>
      </c>
      <c r="H115" s="288"/>
      <c r="I115" s="288"/>
      <c r="J115" s="288"/>
      <c r="K115" s="288"/>
      <c r="L115" s="288"/>
      <c r="M115" s="288"/>
      <c r="N115" s="288"/>
      <c r="O115" s="288"/>
      <c r="P115" s="404"/>
      <c r="Q115" s="404"/>
      <c r="R115" s="404"/>
      <c r="S115" s="404"/>
      <c r="T115" s="404"/>
      <c r="U115" s="288"/>
      <c r="V115" s="327"/>
      <c r="W115" s="327"/>
      <c r="X115" s="287"/>
      <c r="Y115" s="287"/>
      <c r="Z115" s="287"/>
      <c r="AA115" s="287"/>
      <c r="AB115" s="287"/>
    </row>
    <row r="116" spans="2:28">
      <c r="B116" s="740"/>
      <c r="C116" s="308" t="s">
        <v>174</v>
      </c>
      <c r="D116" s="309">
        <f>IFERROR(GETPIVOTDATA("Project Phase",'YTD SBU'!$A$7,"Group",1,"postingdate",9,"Project Phase","1. RP2"),0)</f>
        <v>0</v>
      </c>
      <c r="E116" s="309">
        <f>IFERROR(GETPIVOTDATA("Project Phase",'YTD SBU'!$A$7,"Group",1,"postingdate",9,"Project Phase","2. RP4"),0)</f>
        <v>0</v>
      </c>
      <c r="F116" s="309">
        <f>IFERROR(GETPIVOTDATA("Project Phase",'YTD SBU'!$A$7,"Group",1,"postingdate",9,"Project Phase","5. RP5 Closure"),0)</f>
        <v>0</v>
      </c>
      <c r="G116" s="307">
        <f t="shared" si="60"/>
        <v>0</v>
      </c>
      <c r="H116" s="288"/>
      <c r="I116" s="288"/>
      <c r="J116" s="288"/>
      <c r="K116" s="288"/>
      <c r="L116" s="288"/>
      <c r="M116" s="288"/>
      <c r="N116" s="288"/>
      <c r="O116" s="288"/>
      <c r="P116" s="327"/>
      <c r="Q116" s="327"/>
      <c r="R116" s="327"/>
      <c r="S116" s="327"/>
      <c r="T116" s="327"/>
      <c r="U116" s="288"/>
      <c r="V116" s="327"/>
      <c r="W116" s="327"/>
      <c r="X116" s="287"/>
      <c r="Y116" s="287"/>
      <c r="Z116" s="287"/>
      <c r="AA116" s="287"/>
      <c r="AB116" s="287"/>
    </row>
    <row r="117" spans="2:28">
      <c r="B117" s="740"/>
      <c r="C117" s="308" t="s">
        <v>175</v>
      </c>
      <c r="D117" s="309">
        <f>IFERROR(GETPIVOTDATA("Project Phase",'YTD SBU'!$A$7,"Group",1,"postingdate",10,"Project Phase","1. RP2"),0)</f>
        <v>0</v>
      </c>
      <c r="E117" s="309">
        <f>IFERROR(GETPIVOTDATA("Project Phase",'YTD SBU'!$A$7,"Group",1,"postingdate",10,"Project Phase","2. RP4"),0)</f>
        <v>0</v>
      </c>
      <c r="F117" s="309">
        <f>IFERROR(GETPIVOTDATA("Project Phase",'YTD SBU'!$A$7,"Group",1,"postingdate",10,"Project Phase","5. RP5 Closure"),0)</f>
        <v>0</v>
      </c>
      <c r="G117" s="307">
        <f t="shared" si="60"/>
        <v>0</v>
      </c>
      <c r="H117" s="288"/>
      <c r="I117" s="288"/>
      <c r="J117" s="288"/>
      <c r="K117" s="288"/>
      <c r="L117" s="288"/>
      <c r="M117" s="288"/>
      <c r="N117" s="288"/>
      <c r="O117" s="288"/>
      <c r="P117" s="327"/>
      <c r="Q117" s="327"/>
      <c r="R117" s="327"/>
      <c r="S117" s="327"/>
      <c r="T117" s="327"/>
      <c r="U117" s="288"/>
      <c r="V117" s="327"/>
      <c r="W117" s="327"/>
      <c r="X117" s="287"/>
      <c r="Y117" s="287"/>
      <c r="Z117" s="287"/>
      <c r="AA117" s="287"/>
      <c r="AB117" s="287"/>
    </row>
    <row r="118" spans="2:28">
      <c r="B118" s="740"/>
      <c r="C118" s="308" t="s">
        <v>176</v>
      </c>
      <c r="D118" s="309">
        <f>IFERROR(GETPIVOTDATA("Project Phase",'YTD SBU'!$A$7,"Group",1,"postingdate",11,"Project Phase","1. RP2"),0)</f>
        <v>0</v>
      </c>
      <c r="E118" s="309">
        <f>IFERROR(GETPIVOTDATA("Project Phase",'YTD SBU'!$A$7,"Group",1,"postingdate",11,"Project Phase","2. RP4"),0)</f>
        <v>0</v>
      </c>
      <c r="F118" s="309">
        <f>IFERROR(GETPIVOTDATA("Project Phase",'YTD SBU'!$A$7,"Group",1,"postingdate",11,"Project Phase","5. RP5 Closure"),0)</f>
        <v>0</v>
      </c>
      <c r="G118" s="307">
        <f t="shared" si="60"/>
        <v>0</v>
      </c>
      <c r="H118" s="288"/>
      <c r="I118" s="288"/>
      <c r="J118" s="288"/>
      <c r="K118" s="288"/>
      <c r="L118" s="288"/>
      <c r="M118" s="288"/>
      <c r="N118" s="288"/>
      <c r="O118" s="288"/>
      <c r="P118" s="327"/>
      <c r="Q118" s="327"/>
      <c r="R118" s="327"/>
      <c r="S118" s="327"/>
      <c r="T118" s="327"/>
      <c r="U118" s="288"/>
      <c r="V118" s="327"/>
      <c r="W118" s="327"/>
      <c r="X118" s="287"/>
      <c r="Y118" s="287"/>
      <c r="Z118" s="287"/>
      <c r="AA118" s="287"/>
      <c r="AB118" s="287"/>
    </row>
    <row r="119" spans="2:28" ht="15.75" thickBot="1">
      <c r="B119" s="740"/>
      <c r="C119" s="310" t="s">
        <v>177</v>
      </c>
      <c r="D119" s="309">
        <f>IFERROR(GETPIVOTDATA("Project Phase",'YTD SBU'!$A$7,"Group",1,"postingdate",12,"Project Phase","1. RP2"),0)</f>
        <v>0</v>
      </c>
      <c r="E119" s="309">
        <f>IFERROR(GETPIVOTDATA("Project Phase",'YTD SBU'!$A$7,"Group",1,"postingdate",12,"Project Phase","2. RP4"),0)</f>
        <v>0</v>
      </c>
      <c r="F119" s="309">
        <f>IFERROR(GETPIVOTDATA("Project Phase",'YTD SBU'!$A$7,"Group",1,"postingdate",12,"Project Phase","5. RP5 Closure"),0)</f>
        <v>0</v>
      </c>
      <c r="G119" s="307">
        <f t="shared" si="60"/>
        <v>0</v>
      </c>
      <c r="H119" s="288"/>
      <c r="I119" s="288"/>
      <c r="J119" s="288"/>
      <c r="K119" s="288"/>
      <c r="L119" s="288"/>
      <c r="M119" s="288"/>
      <c r="N119" s="288"/>
      <c r="O119" s="288"/>
      <c r="P119" s="404"/>
      <c r="Q119" s="404"/>
      <c r="R119" s="404"/>
      <c r="S119" s="404"/>
      <c r="T119" s="404"/>
      <c r="U119" s="288"/>
      <c r="V119" s="327"/>
      <c r="W119" s="327"/>
      <c r="X119" s="287"/>
      <c r="Y119" s="287"/>
      <c r="Z119" s="287"/>
      <c r="AA119" s="287"/>
      <c r="AB119" s="287"/>
    </row>
    <row r="120" spans="2:28" ht="15.75" thickBot="1">
      <c r="B120" s="741"/>
      <c r="C120" s="397" t="s">
        <v>160</v>
      </c>
      <c r="D120" s="398">
        <f>SUM(D108:D119)</f>
        <v>24</v>
      </c>
      <c r="E120" s="398">
        <f t="shared" ref="E120:G120" si="61">SUM(E108:E119)</f>
        <v>16</v>
      </c>
      <c r="F120" s="398">
        <f t="shared" si="61"/>
        <v>5</v>
      </c>
      <c r="G120" s="398">
        <f t="shared" si="61"/>
        <v>45</v>
      </c>
      <c r="H120" s="288"/>
      <c r="I120" s="288"/>
      <c r="J120" s="288"/>
      <c r="K120" s="288"/>
      <c r="L120" s="288"/>
      <c r="M120" s="288"/>
      <c r="N120" s="288"/>
      <c r="O120" s="288"/>
      <c r="P120" s="404"/>
      <c r="Q120" s="404"/>
      <c r="R120" s="404"/>
      <c r="S120" s="404"/>
      <c r="T120" s="404"/>
      <c r="U120" s="288"/>
      <c r="V120" s="327"/>
      <c r="W120" s="327"/>
      <c r="X120" s="287"/>
      <c r="Y120" s="287"/>
      <c r="Z120" s="287"/>
      <c r="AA120" s="287"/>
      <c r="AB120" s="287"/>
    </row>
    <row r="121" spans="2:28"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404"/>
      <c r="Q121" s="404"/>
      <c r="R121" s="404"/>
      <c r="S121" s="404"/>
      <c r="T121" s="404"/>
      <c r="U121" s="288"/>
      <c r="V121" s="327"/>
      <c r="W121" s="327"/>
      <c r="X121" s="287"/>
      <c r="Y121" s="287"/>
      <c r="Z121" s="287"/>
      <c r="AA121" s="287"/>
      <c r="AB121" s="287"/>
    </row>
    <row r="122" spans="2:28"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404"/>
      <c r="Q122" s="404"/>
      <c r="R122" s="404"/>
      <c r="S122" s="404"/>
      <c r="T122" s="404"/>
      <c r="U122" s="288"/>
      <c r="V122" s="327"/>
      <c r="W122" s="327"/>
      <c r="X122" s="287"/>
      <c r="Y122" s="287"/>
      <c r="Z122" s="287"/>
      <c r="AA122" s="287"/>
      <c r="AB122" s="287"/>
    </row>
    <row r="123" spans="2:28"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404"/>
      <c r="Q123" s="404"/>
      <c r="R123" s="404"/>
      <c r="S123" s="404"/>
      <c r="T123" s="404"/>
      <c r="U123" s="288"/>
      <c r="V123" s="327"/>
      <c r="W123" s="327"/>
      <c r="X123" s="287"/>
      <c r="Y123" s="287"/>
      <c r="Z123" s="287"/>
      <c r="AA123" s="287"/>
      <c r="AB123" s="287"/>
    </row>
    <row r="124" spans="2:28"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404"/>
      <c r="Q124" s="404"/>
      <c r="R124" s="404"/>
      <c r="S124" s="404"/>
      <c r="T124" s="404"/>
      <c r="U124" s="288"/>
      <c r="V124" s="327"/>
      <c r="W124" s="327"/>
      <c r="X124" s="287"/>
      <c r="Y124" s="287"/>
      <c r="Z124" s="287"/>
      <c r="AA124" s="287"/>
      <c r="AB124" s="287"/>
    </row>
    <row r="125" spans="2:28" ht="15.75" thickBot="1"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404"/>
      <c r="Q125" s="404"/>
      <c r="R125" s="404"/>
      <c r="S125" s="404"/>
      <c r="T125" s="404"/>
      <c r="U125" s="288"/>
      <c r="V125" s="327"/>
      <c r="W125" s="327"/>
      <c r="X125" s="287"/>
      <c r="Y125" s="287"/>
      <c r="Z125" s="287"/>
      <c r="AA125" s="287"/>
      <c r="AB125" s="287"/>
    </row>
    <row r="126" spans="2:28" ht="15.75" thickBot="1">
      <c r="B126" s="729" t="s">
        <v>178</v>
      </c>
      <c r="C126" s="730"/>
      <c r="D126" s="730"/>
      <c r="E126" s="730"/>
      <c r="F126" s="730"/>
      <c r="G126" s="730"/>
      <c r="H126" s="731"/>
      <c r="I126" s="288"/>
      <c r="J126" s="288"/>
      <c r="K126" s="288"/>
      <c r="L126" s="745" t="str">
        <f>B2</f>
        <v>FEB</v>
      </c>
      <c r="M126" s="729" t="s">
        <v>179</v>
      </c>
      <c r="N126" s="730"/>
      <c r="O126" s="730"/>
      <c r="P126" s="730"/>
      <c r="Q126" s="730"/>
      <c r="R126" s="730"/>
      <c r="S126" s="730"/>
      <c r="T126" s="730"/>
      <c r="U126" s="731"/>
      <c r="V126" s="327"/>
      <c r="W126" s="327"/>
      <c r="X126" s="287"/>
      <c r="Y126" s="287"/>
      <c r="Z126" s="287"/>
      <c r="AA126" s="287"/>
      <c r="AB126" s="287"/>
    </row>
    <row r="127" spans="2:28" ht="39" thickBot="1">
      <c r="B127" s="562" t="str">
        <f>B2</f>
        <v>FEB</v>
      </c>
      <c r="C127" s="560"/>
      <c r="D127" s="556" t="s">
        <v>180</v>
      </c>
      <c r="E127" s="557" t="s">
        <v>181</v>
      </c>
      <c r="F127" s="558" t="s">
        <v>182</v>
      </c>
      <c r="G127" s="557" t="s">
        <v>11</v>
      </c>
      <c r="H127" s="559" t="s">
        <v>183</v>
      </c>
      <c r="I127" s="288"/>
      <c r="J127" s="288"/>
      <c r="K127" s="288"/>
      <c r="L127" s="746"/>
      <c r="M127" s="748" t="s">
        <v>184</v>
      </c>
      <c r="N127" s="749"/>
      <c r="O127" s="748" t="s">
        <v>185</v>
      </c>
      <c r="P127" s="749"/>
      <c r="Q127" s="750" t="s">
        <v>182</v>
      </c>
      <c r="R127" s="751"/>
      <c r="S127" s="748" t="s">
        <v>11</v>
      </c>
      <c r="T127" s="749"/>
      <c r="U127" s="752" t="s">
        <v>186</v>
      </c>
      <c r="V127" s="327"/>
      <c r="W127" s="327"/>
      <c r="X127" s="287"/>
      <c r="Y127" s="287"/>
      <c r="Z127" s="287"/>
      <c r="AA127" s="287"/>
      <c r="AB127" s="287"/>
    </row>
    <row r="128" spans="2:28" ht="15.75" thickBot="1">
      <c r="B128" s="721" t="s">
        <v>16</v>
      </c>
      <c r="C128" s="289" t="s">
        <v>66</v>
      </c>
      <c r="D128" s="399">
        <f>IFERROR(GETPIVOTDATA(" RP Phase1-2",Other!$A$7,"Group",1,"SBU","EC","Project Type","OEM/ODM","postingdate",VLOOKUP($B$2,myMonth,2,FALSE)),0)</f>
        <v>0</v>
      </c>
      <c r="E128" s="399">
        <f>IFERROR(GETPIVOTDATA(" RP Phase3-4",Other!$A$7,"Group",1,"SBU","EC","Project Type","OEM/ODM","postingdate",VLOOKUP($B$2,myMonth,2,FALSE)),0)</f>
        <v>0</v>
      </c>
      <c r="F128" s="400">
        <f>SUM(D128:E128)</f>
        <v>0</v>
      </c>
      <c r="G128" s="399">
        <f>IFERROR(GETPIVOTDATA(" RP Phase5 Closure",Other!$A$7,"Group",1,"SBU","EC","Project Type","OEM/ODM","postingdate",VLOOKUP($B$2,myMonth,2,FALSE)),0)</f>
        <v>0</v>
      </c>
      <c r="H128" s="302">
        <f>SUM(F128:G128)</f>
        <v>0</v>
      </c>
      <c r="I128" s="404"/>
      <c r="J128" s="404"/>
      <c r="K128" s="404"/>
      <c r="L128" s="747"/>
      <c r="M128" s="393" t="s">
        <v>16</v>
      </c>
      <c r="N128" s="394" t="s">
        <v>19</v>
      </c>
      <c r="O128" s="393" t="s">
        <v>16</v>
      </c>
      <c r="P128" s="394" t="s">
        <v>19</v>
      </c>
      <c r="Q128" s="395" t="s">
        <v>16</v>
      </c>
      <c r="R128" s="396" t="s">
        <v>19</v>
      </c>
      <c r="S128" s="393" t="s">
        <v>16</v>
      </c>
      <c r="T128" s="394" t="s">
        <v>19</v>
      </c>
      <c r="U128" s="753"/>
      <c r="V128" s="327"/>
      <c r="W128" s="327"/>
      <c r="X128" s="287"/>
      <c r="Y128" s="287"/>
      <c r="Z128" s="287"/>
      <c r="AA128" s="287"/>
      <c r="AB128" s="287"/>
    </row>
    <row r="129" spans="2:28" ht="15.75" thickBot="1">
      <c r="B129" s="722"/>
      <c r="C129" s="290" t="s">
        <v>67</v>
      </c>
      <c r="D129" s="401">
        <f>IFERROR(GETPIVOTDATA(" RP Phase1-2",Other!$A$7,"Group",1,"SBU","FP","Project Type","OEM/ODM","postingdate",VLOOKUP($B$2,myMonth,2,FALSE)),0)</f>
        <v>0</v>
      </c>
      <c r="E129" s="401">
        <f>IFERROR(GETPIVOTDATA(" RP Phase3-4",Other!$A$7,"Group",1,"SBU","FP","Project Type","OEM/ODM","postingdate",VLOOKUP($B$2,myMonth,2,FALSE)),0)</f>
        <v>0</v>
      </c>
      <c r="F129" s="400">
        <f t="shared" ref="F129:F136" si="62">SUM(D129:E129)</f>
        <v>0</v>
      </c>
      <c r="G129" s="401">
        <f>IFERROR(GETPIVOTDATA(" RP Phase5 Closure",Other!$A$7,"Group",1,"SBU","FP","Project Type","OEM/ODM","postingdate",VLOOKUP($B$2,myMonth,2,FALSE)),0)</f>
        <v>0</v>
      </c>
      <c r="H129" s="302">
        <f t="shared" ref="H129:H136" si="63">SUM(F129:G129)</f>
        <v>0</v>
      </c>
      <c r="I129" s="288"/>
      <c r="J129" s="288"/>
      <c r="K129" s="288"/>
      <c r="L129" s="297" t="s">
        <v>82</v>
      </c>
      <c r="M129" s="613">
        <f>IFERROR(GETPIVOTDATA(" RP Phase1-2",Other!$BI$7,"rolename","Allen Team","Project Type","OEM/ODM","postingdate",VLOOKUP($B$2,myMonth,2,FALSE)),0)</f>
        <v>0</v>
      </c>
      <c r="N129" s="614">
        <f>IFERROR(GETPIVOTDATA(" RP Phase1-2",Other!$BI$7,"rolename","Allen Team","Project Type","PPSA","postingdate",VLOOKUP($B$2,myMonth,2,FALSE)),0)</f>
        <v>0</v>
      </c>
      <c r="O129" s="613">
        <f>IFERROR(GETPIVOTDATA(" RP Phase3-4",Other!$BI$7,"rolename","Allen Team","Project Type","OEM/ODM","postingdate",VLOOKUP($B$2,myMonth,2,FALSE)),0)</f>
        <v>0</v>
      </c>
      <c r="P129" s="614">
        <f>IFERROR(GETPIVOTDATA(" RP Phase3-4",Other!$BI$7,"rolename","Allen Team","Project Type","PPSA","postingdate",VLOOKUP($B$2,myMonth,2,FALSE)),0)</f>
        <v>0</v>
      </c>
      <c r="Q129" s="615">
        <f>M129+O129</f>
        <v>0</v>
      </c>
      <c r="R129" s="616">
        <f>N129+P129</f>
        <v>0</v>
      </c>
      <c r="S129" s="613">
        <f>IFERROR(GETPIVOTDATA(" RP Phase5 Closure",Other!$BI$7,"rolename","Allen Team","Project Type","OEM/ODM","postingdate",VLOOKUP($B$2,myMonth,2,FALSE)),0)</f>
        <v>1</v>
      </c>
      <c r="T129" s="614">
        <f>IFERROR(GETPIVOTDATA(" RP Phase5 Closure",Other!$BI$7,"rolename","Allen Team","Project Type","PPSA","postingdate",VLOOKUP($B$2,myMonth,2,FALSE)),0)</f>
        <v>0</v>
      </c>
      <c r="U129" s="617">
        <f>SUM(Q129:T129)</f>
        <v>1</v>
      </c>
      <c r="V129" s="327"/>
      <c r="W129" s="404"/>
      <c r="X129" s="287"/>
      <c r="Y129" s="287"/>
      <c r="Z129" s="287"/>
      <c r="AA129" s="287"/>
      <c r="AB129" s="287"/>
    </row>
    <row r="130" spans="2:28" ht="15.75" thickBot="1">
      <c r="B130" s="722"/>
      <c r="C130" s="290" t="s">
        <v>68</v>
      </c>
      <c r="D130" s="401">
        <f>IFERROR(GETPIVOTDATA(" RP Phase1-2",Other!$A$7,"Group",1,"SBU","BnB","Project Type","OEM/ODM","postingdate",VLOOKUP($B$2,myMonth,2,FALSE)),0)</f>
        <v>1</v>
      </c>
      <c r="E130" s="401">
        <f>IFERROR(GETPIVOTDATA(" RP Phase3-4",Other!$A$7,"Group",1,"SBU","BnB","Project Type","OEM/ODM","postingdate",VLOOKUP($B$2,myMonth,2,FALSE)),0)</f>
        <v>1</v>
      </c>
      <c r="F130" s="400">
        <f t="shared" si="62"/>
        <v>2</v>
      </c>
      <c r="G130" s="401">
        <f>IFERROR(GETPIVOTDATA(" RP Phase5 Closure",Other!$A$7,"Group",1,"SBU","BnB","Project Type","OEM/ODM","postingdate",VLOOKUP($B$2,myMonth,2,FALSE)),0)</f>
        <v>0</v>
      </c>
      <c r="H130" s="302">
        <f t="shared" si="63"/>
        <v>2</v>
      </c>
      <c r="I130" s="288"/>
      <c r="J130" s="288"/>
      <c r="K130" s="288"/>
      <c r="L130" s="298" t="s">
        <v>83</v>
      </c>
      <c r="M130" s="613">
        <f>IFERROR(GETPIVOTDATA(" RP Phase1-2",Other!$BI$7,"rolename","Brenda Team","Project Type","OEM/ODM","postingdate",VLOOKUP($B$2,myMonth,2,FALSE)),0)</f>
        <v>0</v>
      </c>
      <c r="N130" s="614">
        <f>IFERROR(GETPIVOTDATA(" RP Phase1-2",Other!$BI$7,"rolename","Brenda Team","Project Type","PPSA","postingdate",VLOOKUP($B$2,myMonth,2,FALSE)),0)</f>
        <v>0</v>
      </c>
      <c r="O130" s="613">
        <f>IFERROR(GETPIVOTDATA(" RP Phase3-4",Other!$BI$7,"rolename","Brenda Team","Project Type","OEM/ODM","postingdate",VLOOKUP($B$2,myMonth,2,FALSE)),0)</f>
        <v>2</v>
      </c>
      <c r="P130" s="614">
        <f>IFERROR(GETPIVOTDATA(" RP Phase3-4",Other!$BI$7,"rolename","Brenda Team","Project Type","PPSA","postingdate",VLOOKUP($B$2,myMonth,2,FALSE)),0)</f>
        <v>0</v>
      </c>
      <c r="Q130" s="615">
        <f t="shared" ref="Q130:R133" si="64">M130+O130</f>
        <v>2</v>
      </c>
      <c r="R130" s="616">
        <f t="shared" si="64"/>
        <v>0</v>
      </c>
      <c r="S130" s="613">
        <f>IFERROR(GETPIVOTDATA(" RP Phase5 Closure",Other!$BI$7,"rolename","Brenda Team","Project Type","OEM/ODM","postingdate",VLOOKUP($B$2,myMonth,2,FALSE)),0)</f>
        <v>1</v>
      </c>
      <c r="T130" s="614">
        <f>IFERROR(GETPIVOTDATA(" RP Phase5 Closure",Other!$BI$7,"rolename","Brenda Team","Project Type","PPSA","postingdate",VLOOKUP($B$2,myMonth,2,FALSE)),0)</f>
        <v>0</v>
      </c>
      <c r="U130" s="617">
        <f t="shared" ref="U130:U133" si="65">SUM(Q130:T130)</f>
        <v>3</v>
      </c>
      <c r="V130" s="327"/>
      <c r="W130" s="288"/>
      <c r="X130" s="287"/>
      <c r="Y130" s="287"/>
      <c r="Z130" s="287"/>
      <c r="AA130" s="287"/>
      <c r="AB130" s="287"/>
    </row>
    <row r="131" spans="2:28" ht="15.75" thickBot="1">
      <c r="B131" s="722"/>
      <c r="C131" s="290" t="s">
        <v>69</v>
      </c>
      <c r="D131" s="401">
        <f>IFERROR(GETPIVOTDATA(" RP Phase1-2",Other!$A$7,"Group",1,"SBU","PC","Project Type","OEM/ODM","postingdate",VLOOKUP($B$2,myMonth,2,FALSE)),0)</f>
        <v>0</v>
      </c>
      <c r="E131" s="401">
        <f>IFERROR(GETPIVOTDATA(" RP Phase3-4",Other!$A$7,"Group",1,"SBU","PC","Project Type","OEM/ODM","postingdate",VLOOKUP($B$2,myMonth,2,FALSE)),0)</f>
        <v>0</v>
      </c>
      <c r="F131" s="400">
        <f t="shared" si="62"/>
        <v>0</v>
      </c>
      <c r="G131" s="401">
        <f>IFERROR(GETPIVOTDATA(" RP Phase5 Closure",Other!$A$7,"Group",1,"SBU","PC","Project Type","OEM/ODM","postingdate",VLOOKUP($B$2,myMonth,2,FALSE)),0)</f>
        <v>2</v>
      </c>
      <c r="H131" s="302">
        <f t="shared" si="63"/>
        <v>2</v>
      </c>
      <c r="I131" s="288"/>
      <c r="J131" s="288"/>
      <c r="K131" s="288"/>
      <c r="L131" s="299" t="s">
        <v>84</v>
      </c>
      <c r="M131" s="613">
        <f>IFERROR(GETPIVOTDATA(" RP Phase1-2",Other!$BI$7,"rolename","Gary Team","Project Type","OEM/ODM","postingdate",VLOOKUP($B$2,myMonth,2,FALSE)),0)</f>
        <v>0</v>
      </c>
      <c r="N131" s="614">
        <f>IFERROR(GETPIVOTDATA(" RP Phase1-2",Other!$BI$7,"rolename","Gary Team","Project Type","PPSA","postingdate",VLOOKUP($B$2,myMonth,2,FALSE)),0)</f>
        <v>0</v>
      </c>
      <c r="O131" s="613">
        <f>IFERROR(GETPIVOTDATA(" RP Phase3-4",Other!$BI$7,"rolename","Gary Team","Project Type","OEM/ODM","postingdate",VLOOKUP($B$2,myMonth,2,FALSE)),0)</f>
        <v>0</v>
      </c>
      <c r="P131" s="614">
        <f>IFERROR(GETPIVOTDATA(" RP Phase3-4",Other!$BI$7,"rolename","Gary Team","Project Type","PPSA","postingdate",VLOOKUP($B$2,myMonth,2,FALSE)),0)</f>
        <v>1</v>
      </c>
      <c r="Q131" s="615">
        <f t="shared" si="64"/>
        <v>0</v>
      </c>
      <c r="R131" s="616">
        <f t="shared" si="64"/>
        <v>1</v>
      </c>
      <c r="S131" s="613">
        <f>IFERROR(GETPIVOTDATA(" RP Phase5 Closure",Other!$BI$7,"rolename","Gary Team","Project Type","OEM/ODM","postingdate",VLOOKUP($B$2,myMonth,2,FALSE)),0)</f>
        <v>0</v>
      </c>
      <c r="T131" s="614">
        <f>IFERROR(GETPIVOTDATA(" RP Phase5 Closure",Other!$BI$7,"rolename","Gary Team","Project Type","PPSA","postingdate",VLOOKUP($B$2,myMonth,2,FALSE)),0)</f>
        <v>0</v>
      </c>
      <c r="U131" s="617">
        <f t="shared" si="65"/>
        <v>1</v>
      </c>
      <c r="V131" s="327"/>
      <c r="W131" s="288"/>
      <c r="X131" s="287"/>
      <c r="Y131" s="287"/>
      <c r="Z131" s="287"/>
      <c r="AA131" s="287"/>
      <c r="AB131" s="287"/>
    </row>
    <row r="132" spans="2:28" ht="15.75" thickBot="1">
      <c r="B132" s="722"/>
      <c r="C132" s="290" t="s">
        <v>70</v>
      </c>
      <c r="D132" s="401">
        <f>IFERROR(GETPIVOTDATA(" RP Phase1-2",Other!$A$7,"Group",1,"SBU","LC","Project Type","OEM/ODM","postingdate",VLOOKUP($B$2,myMonth,2,FALSE)),0)</f>
        <v>0</v>
      </c>
      <c r="E132" s="401">
        <f>IFERROR(GETPIVOTDATA(" RP Phase3-4",Other!$A$7,"Group",1,"SBU","LC","Project Type","OEM/ODM","postingdate",VLOOKUP($B$2,myMonth,2,FALSE)),0)</f>
        <v>0</v>
      </c>
      <c r="F132" s="400">
        <f t="shared" si="62"/>
        <v>0</v>
      </c>
      <c r="G132" s="401">
        <f>IFERROR(GETPIVOTDATA(" RP Phase5 Closure",Other!$A$7,"Group",1,"SBU","LC","Project Type","OEM/ODM","postingdate",VLOOKUP($B$2,myMonth,2,FALSE)),0)</f>
        <v>0</v>
      </c>
      <c r="H132" s="302">
        <f t="shared" si="63"/>
        <v>0</v>
      </c>
      <c r="I132" s="288"/>
      <c r="J132" s="288"/>
      <c r="K132" s="288"/>
      <c r="L132" s="298" t="s">
        <v>85</v>
      </c>
      <c r="M132" s="613">
        <f>IFERROR(GETPIVOTDATA(" RP Phase1-2",Other!$BI$7,"rolename","Joey Team","Project Type","OEM/ODM","postingdate",VLOOKUP($B$2,myMonth,2,FALSE)),0)</f>
        <v>1</v>
      </c>
      <c r="N132" s="614">
        <f>IFERROR(GETPIVOTDATA(" RP Phase1-2",Other!$BI$7,"rolename","Joey Team","Project Type","PPSA","postingdate",VLOOKUP($B$2,myMonth,2,FALSE)),0)</f>
        <v>0</v>
      </c>
      <c r="O132" s="613">
        <f>IFERROR(GETPIVOTDATA(" RP Phase3-4",Other!$BI$7,"rolename","Joey Team","Project Type","OEM/ODM","postingdate",VLOOKUP($B$2,myMonth,2,FALSE)),0)</f>
        <v>1</v>
      </c>
      <c r="P132" s="614">
        <f>IFERROR(GETPIVOTDATA(" RP Phase3-4",Other!$BI$7,"rolename","Joey Team","Project Type","PPSA","postingdate",VLOOKUP($B$2,myMonth,2,FALSE)),0)</f>
        <v>0</v>
      </c>
      <c r="Q132" s="615">
        <f t="shared" si="64"/>
        <v>2</v>
      </c>
      <c r="R132" s="616">
        <f t="shared" si="64"/>
        <v>0</v>
      </c>
      <c r="S132" s="613">
        <f>IFERROR(GETPIVOTDATA(" RP Phase5 Closure",Other!$BI$7,"rolename","Joey Team","Project Type","OEM/ODM","postingdate",VLOOKUP($B$2,myMonth,2,FALSE)),0)</f>
        <v>0</v>
      </c>
      <c r="T132" s="614">
        <f>IFERROR(GETPIVOTDATA(" RP Phase5 Closure",Other!$BI$7,"rolename","Joey Team","Project Type","PPSA","postingdate",VLOOKUP($B$2,myMonth,2,FALSE)),0)</f>
        <v>1</v>
      </c>
      <c r="U132" s="617">
        <f t="shared" si="65"/>
        <v>3</v>
      </c>
      <c r="V132" s="327"/>
      <c r="W132" s="288"/>
      <c r="X132" s="287"/>
      <c r="Y132" s="287"/>
      <c r="Z132" s="287"/>
      <c r="AA132" s="287"/>
      <c r="AB132" s="287"/>
    </row>
    <row r="133" spans="2:28" ht="15.75" thickBot="1">
      <c r="B133" s="722"/>
      <c r="C133" s="290" t="s">
        <v>71</v>
      </c>
      <c r="D133" s="401">
        <f>IFERROR(GETPIVOTDATA(" RP Phase1-2",Other!$A$7,"Group",1,"SBU","H.Comf","Project Type","OEM/ODM","postingdate",VLOOKUP($B$2,myMonth,2,FALSE)),0)</f>
        <v>0</v>
      </c>
      <c r="E133" s="401">
        <f>IFERROR(GETPIVOTDATA(" RP Phase3-4",Other!$A$7,"Group",1,"SBU","H.Comf","Project Type","OEM/ODM","postingdate",VLOOKUP($B$2,myMonth,2,FALSE)),0)</f>
        <v>1</v>
      </c>
      <c r="F133" s="400">
        <f t="shared" si="62"/>
        <v>1</v>
      </c>
      <c r="G133" s="401">
        <f>IFERROR(GETPIVOTDATA(" RP Phase5 Closure",Other!$A$7,"Group",1,"SBU","H.Comf","Project Type","OEM/ODM","postingdate",VLOOKUP($B$2,myMonth,2,FALSE)),0)</f>
        <v>0</v>
      </c>
      <c r="H133" s="302">
        <f t="shared" si="63"/>
        <v>1</v>
      </c>
      <c r="I133" s="288"/>
      <c r="J133" s="288"/>
      <c r="K133" s="288"/>
      <c r="L133" s="304" t="s">
        <v>86</v>
      </c>
      <c r="M133" s="613">
        <f>IFERROR(GETPIVOTDATA(" RP Phase1-2",Other!$BI$7,"rolename","KARL Team","Project Type","OEM/ODM","postingdate",VLOOKUP($B$2,myMonth,2,FALSE)),0)</f>
        <v>8</v>
      </c>
      <c r="N133" s="614">
        <f>IFERROR(GETPIVOTDATA(" RP Phase1-2",Other!$BI$7,"rolename","KARL Team","Project Type","PPSA","postingdate",VLOOKUP($B$2,myMonth,2,FALSE)),0)</f>
        <v>0</v>
      </c>
      <c r="O133" s="613">
        <f>IFERROR(GETPIVOTDATA(" RP Phase3-4",Other!$BI$7,"rolename","KARL Team","Project Type","OEM/ODM","postingdate",VLOOKUP($B$2,myMonth,2,FALSE)),0)</f>
        <v>7</v>
      </c>
      <c r="P133" s="614">
        <f>IFERROR(GETPIVOTDATA(" RP Phase3-4",Other!$BI$7,"rolename","KARL Team","Project Type","PPSA","postingdate",VLOOKUP($B$2,myMonth,2,FALSE)),0)</f>
        <v>0</v>
      </c>
      <c r="Q133" s="615">
        <f t="shared" si="64"/>
        <v>15</v>
      </c>
      <c r="R133" s="616">
        <f t="shared" si="64"/>
        <v>0</v>
      </c>
      <c r="S133" s="613">
        <f>IFERROR(GETPIVOTDATA(" RP Phase5 Closure",Other!$BI$7,"rolename","KARL Team","Project Type","OEM/ODM","postingdate",VLOOKUP($B$2,myMonth,2,FALSE)),0)</f>
        <v>3</v>
      </c>
      <c r="T133" s="614">
        <f>IFERROR(GETPIVOTDATA(" RP Phase5 Closure",Other!$BI$7,"rolename","KARL Team","Project Type","PPSA","postingdate",VLOOKUP($B$2,myMonth,2,FALSE)),0)</f>
        <v>0</v>
      </c>
      <c r="U133" s="617">
        <f t="shared" si="65"/>
        <v>18</v>
      </c>
      <c r="V133" s="404"/>
      <c r="W133" s="288"/>
      <c r="X133" s="287"/>
      <c r="Y133" s="287"/>
      <c r="Z133" s="287"/>
      <c r="AA133" s="287"/>
      <c r="AB133" s="287"/>
    </row>
    <row r="134" spans="2:28" ht="15.75" thickBot="1">
      <c r="B134" s="722"/>
      <c r="C134" s="290" t="s">
        <v>72</v>
      </c>
      <c r="D134" s="401">
        <f>IFERROR(GETPIVOTDATA(" RP Phase1-2",Other!$A$7,"Group",1,"SBU","H.Clean","Project Type","OEM/ODM","postingdate",VLOOKUP($B$2,myMonth,2,FALSE)),0)</f>
        <v>0</v>
      </c>
      <c r="E134" s="401">
        <f>IFERROR(GETPIVOTDATA(" RP Phase3-4",Other!$A$7,"Group",1,"SBU","H.Clean","Project Type","OEM/ODM","postingdate",VLOOKUP($B$2,myMonth,2,FALSE)),0)</f>
        <v>1</v>
      </c>
      <c r="F134" s="400">
        <f t="shared" si="62"/>
        <v>1</v>
      </c>
      <c r="G134" s="401">
        <f>IFERROR(GETPIVOTDATA(" RP Phase5 Closure",Other!$A$7,"Group",1,"SBU","H.Clean","Project Type","OEM/ODM","postingdate",VLOOKUP($B$2,myMonth,2,FALSE)),0)</f>
        <v>0</v>
      </c>
      <c r="H134" s="302">
        <f t="shared" si="63"/>
        <v>1</v>
      </c>
      <c r="I134" s="288"/>
      <c r="J134" s="288"/>
      <c r="K134" s="288"/>
      <c r="L134" s="296" t="s">
        <v>187</v>
      </c>
      <c r="M134" s="618">
        <f>SUM(M129:M133)</f>
        <v>9</v>
      </c>
      <c r="N134" s="618">
        <f t="shared" ref="N134:U134" si="66">SUM(N129:N133)</f>
        <v>0</v>
      </c>
      <c r="O134" s="618">
        <f t="shared" si="66"/>
        <v>10</v>
      </c>
      <c r="P134" s="618">
        <f t="shared" si="66"/>
        <v>1</v>
      </c>
      <c r="Q134" s="618">
        <f t="shared" si="66"/>
        <v>19</v>
      </c>
      <c r="R134" s="618">
        <f t="shared" si="66"/>
        <v>1</v>
      </c>
      <c r="S134" s="618">
        <f t="shared" si="66"/>
        <v>5</v>
      </c>
      <c r="T134" s="618">
        <f t="shared" si="66"/>
        <v>1</v>
      </c>
      <c r="U134" s="618">
        <f t="shared" si="66"/>
        <v>26</v>
      </c>
      <c r="V134" s="404"/>
      <c r="W134" s="288"/>
      <c r="X134" s="287"/>
      <c r="Y134" s="287"/>
      <c r="Z134" s="287"/>
      <c r="AA134" s="287"/>
      <c r="AB134" s="287"/>
    </row>
    <row r="135" spans="2:28" ht="15.75" thickBot="1">
      <c r="B135" s="722"/>
      <c r="C135" s="290" t="s">
        <v>73</v>
      </c>
      <c r="D135" s="401">
        <f>IFERROR(GETPIVOTDATA(" RP Phase1-2",Other!$A$7,"Group",1,"SBU","CK","Project Type","OEM/ODM","postingdate",VLOOKUP($B$2,myMonth,2,FALSE)),0)</f>
        <v>8</v>
      </c>
      <c r="E135" s="401">
        <f>IFERROR(GETPIVOTDATA(" RP Phase3-4",Other!$A$7,"Group",1,"SBU","CK","Project Type","OEM/ODM","postingdate",VLOOKUP($B$2,myMonth,2,FALSE)),0)</f>
        <v>4</v>
      </c>
      <c r="F135" s="400">
        <f t="shared" si="62"/>
        <v>12</v>
      </c>
      <c r="G135" s="401">
        <f>IFERROR(GETPIVOTDATA(" RP Phase5 Closure",Other!$A$7,"Group",1,"SBU","CK","Project Type","OEM/ODM","postingdate",VLOOKUP($B$2,myMonth,2,FALSE)),0)</f>
        <v>0</v>
      </c>
      <c r="H135" s="302">
        <f t="shared" si="63"/>
        <v>12</v>
      </c>
      <c r="I135" s="404"/>
      <c r="J135" s="404"/>
      <c r="K135" s="404"/>
      <c r="L135" s="404"/>
      <c r="M135" s="404"/>
      <c r="N135" s="404"/>
      <c r="O135" s="404"/>
      <c r="P135" s="404"/>
      <c r="Q135" s="404"/>
      <c r="R135" s="404"/>
      <c r="S135" s="404"/>
      <c r="T135" s="404"/>
      <c r="U135" s="404"/>
      <c r="V135" s="404"/>
      <c r="W135" s="288"/>
      <c r="X135" s="287"/>
      <c r="Y135" s="287"/>
      <c r="Z135" s="287"/>
      <c r="AA135" s="287"/>
      <c r="AB135" s="287"/>
    </row>
    <row r="136" spans="2:28" ht="15.75" thickBot="1">
      <c r="B136" s="722"/>
      <c r="C136" s="291" t="s">
        <v>74</v>
      </c>
      <c r="D136" s="402">
        <f>IFERROR(GETPIVOTDATA(" RP Phase1-2",Other!$A$7,"Group",1,"SBU","SA","Project Type","OEM/ODM","postingdate",VLOOKUP($B$2,myMonth,2,FALSE)),0)</f>
        <v>0</v>
      </c>
      <c r="E136" s="402">
        <f>IFERROR(GETPIVOTDATA(" RP Phase3-4",Other!$A$7,"Group",1,"SBU","SA","Project Type","OEM/ODM","postingdate",VLOOKUP($B$2,myMonth,2,FALSE)),0)</f>
        <v>3</v>
      </c>
      <c r="F136" s="400">
        <f t="shared" si="62"/>
        <v>3</v>
      </c>
      <c r="G136" s="402">
        <f>IFERROR(GETPIVOTDATA(" RP Phase5 Closure",Other!$A$7,"Group",1,"SBU","SA","Project Type","OEM/ODM","postingdate",VLOOKUP($B$2,myMonth,2,FALSE)),0)</f>
        <v>3</v>
      </c>
      <c r="H136" s="302">
        <f t="shared" si="63"/>
        <v>6</v>
      </c>
      <c r="I136" s="404"/>
      <c r="J136" s="404"/>
      <c r="K136" s="404"/>
      <c r="L136" s="606"/>
      <c r="M136" s="404"/>
      <c r="N136" s="404"/>
      <c r="O136" s="404"/>
      <c r="P136" s="404"/>
      <c r="Q136" s="404"/>
      <c r="R136" s="404"/>
      <c r="S136" s="404"/>
      <c r="T136" s="404"/>
      <c r="U136" s="404"/>
      <c r="V136" s="404"/>
      <c r="W136" s="288"/>
      <c r="X136" s="287"/>
      <c r="Y136" s="287"/>
      <c r="Z136" s="287"/>
      <c r="AA136" s="287"/>
      <c r="AB136" s="287"/>
    </row>
    <row r="137" spans="2:28" ht="15.75" thickBot="1">
      <c r="B137" s="723"/>
      <c r="C137" s="301" t="s">
        <v>188</v>
      </c>
      <c r="D137" s="303">
        <f>SUM(D128:D136)</f>
        <v>9</v>
      </c>
      <c r="E137" s="303">
        <f t="shared" ref="E137:H137" si="67">SUM(E128:E136)</f>
        <v>10</v>
      </c>
      <c r="F137" s="303">
        <f t="shared" si="67"/>
        <v>19</v>
      </c>
      <c r="G137" s="303">
        <f t="shared" si="67"/>
        <v>5</v>
      </c>
      <c r="H137" s="303">
        <f t="shared" si="67"/>
        <v>24</v>
      </c>
      <c r="I137" s="404"/>
      <c r="J137" s="404"/>
      <c r="K137" s="404"/>
      <c r="L137" s="404"/>
      <c r="M137" s="404"/>
      <c r="N137" s="404"/>
      <c r="O137" s="404"/>
      <c r="P137" s="404"/>
      <c r="Q137" s="404"/>
      <c r="R137" s="404"/>
      <c r="S137" s="404"/>
      <c r="T137" s="404"/>
      <c r="U137" s="404"/>
      <c r="V137" s="404"/>
      <c r="W137" s="288"/>
      <c r="X137" s="287"/>
      <c r="Y137" s="287"/>
      <c r="Z137" s="287"/>
      <c r="AA137" s="287"/>
      <c r="AB137" s="287"/>
    </row>
    <row r="138" spans="2:28" ht="15.75" thickBot="1">
      <c r="B138" s="721" t="s">
        <v>19</v>
      </c>
      <c r="C138" s="300" t="s">
        <v>66</v>
      </c>
      <c r="D138" s="607">
        <f>IFERROR(GETPIVOTDATA(" RP Phase1-2",Other!$A$7,"Group",1,"SBU","EC","Project Type","PPSA","postingdate",VLOOKUP($B$2,myMonth,2,FALSE)),0)</f>
        <v>0</v>
      </c>
      <c r="E138" s="607">
        <f>IFERROR(GETPIVOTDATA(" RP Phase3-4",Other!$A$7,"Group",1,"SBU","EC","Project Type","PPSA","postingdate",VLOOKUP($B$2,myMonth,2,FALSE)),0)</f>
        <v>0</v>
      </c>
      <c r="F138" s="608">
        <f>SUM(D138:E138)</f>
        <v>0</v>
      </c>
      <c r="G138" s="607">
        <f>IFERROR(GETPIVOTDATA(" RP Phase5 Closure",Other!$A$7,"Group",1,"SBU","EC","Project Type","PPSA","postingdate",VLOOKUP($B$2,myMonth,2,FALSE)),0)</f>
        <v>0</v>
      </c>
      <c r="H138" s="609">
        <f>SUM(F138:G138)</f>
        <v>0</v>
      </c>
      <c r="I138" s="404"/>
      <c r="J138" s="404"/>
      <c r="K138" s="404"/>
      <c r="L138" s="404"/>
      <c r="M138" s="404"/>
      <c r="N138" s="404"/>
      <c r="O138" s="404"/>
      <c r="P138" s="404"/>
      <c r="Q138" s="404"/>
      <c r="R138" s="404"/>
      <c r="S138" s="404"/>
      <c r="T138" s="404"/>
      <c r="U138" s="404"/>
      <c r="V138" s="404"/>
      <c r="W138" s="288"/>
      <c r="X138" s="287"/>
      <c r="Y138" s="287"/>
      <c r="Z138" s="287"/>
      <c r="AA138" s="287"/>
      <c r="AB138" s="287"/>
    </row>
    <row r="139" spans="2:28" ht="15.75" thickBot="1">
      <c r="B139" s="722"/>
      <c r="C139" s="292" t="s">
        <v>67</v>
      </c>
      <c r="D139" s="610">
        <f>IFERROR(GETPIVOTDATA(" RP Phase1-2",Other!$A$7,"Group",1,"SBU","FP","Project Type","PPSA","postingdate",VLOOKUP($B$2,myMonth,2,FALSE)),0)</f>
        <v>0</v>
      </c>
      <c r="E139" s="610">
        <f>IFERROR(GETPIVOTDATA(" RP Phase3-4",Other!$A$7,"Group",1,"SBU","FP","Project Type","PPSA","postingdate",VLOOKUP($B$2,myMonth,2,FALSE)),0)</f>
        <v>1</v>
      </c>
      <c r="F139" s="608">
        <f t="shared" ref="F139:F146" si="68">SUM(D139:E139)</f>
        <v>1</v>
      </c>
      <c r="G139" s="610">
        <f>IFERROR(GETPIVOTDATA(" RP Phase5 Closure",Other!$A$7,"Group",1,"SBU","FP","Project Type","PPSA","postingdate",VLOOKUP($B$2,myMonth,2,FALSE)),0)</f>
        <v>0</v>
      </c>
      <c r="H139" s="609">
        <f t="shared" ref="H139:H146" si="69">SUM(F139:G139)</f>
        <v>1</v>
      </c>
      <c r="I139" s="404"/>
      <c r="J139" s="404"/>
      <c r="K139" s="404"/>
      <c r="L139" s="404"/>
      <c r="M139" s="404"/>
      <c r="N139" s="404"/>
      <c r="O139" s="404"/>
      <c r="P139" s="288"/>
      <c r="Q139" s="288"/>
      <c r="R139" s="288"/>
      <c r="S139" s="288"/>
      <c r="T139" s="288"/>
      <c r="U139" s="288"/>
      <c r="V139" s="288"/>
      <c r="W139" s="288"/>
      <c r="X139" s="287"/>
      <c r="Y139" s="287"/>
      <c r="Z139" s="287"/>
      <c r="AA139" s="287"/>
      <c r="AB139" s="287"/>
    </row>
    <row r="140" spans="2:28" ht="15.75" thickBot="1">
      <c r="B140" s="722"/>
      <c r="C140" s="292" t="s">
        <v>68</v>
      </c>
      <c r="D140" s="610">
        <f>IFERROR(GETPIVOTDATA(" RP Phase1-2",Other!$A$7,"Group",1,"SBU","BnB","PPSA","OEM/ODM","postingdate",VLOOKUP($B$2,myMonth,2,FALSE)),0)</f>
        <v>0</v>
      </c>
      <c r="E140" s="610">
        <f>IFERROR(GETPIVOTDATA(" RP Phase3-4",Other!$A$7,"Group",1,"SBU","BnB","Project Type","PPSA","postingdate",VLOOKUP($B$2,myMonth,2,FALSE)),0)</f>
        <v>0</v>
      </c>
      <c r="F140" s="608">
        <f t="shared" si="68"/>
        <v>0</v>
      </c>
      <c r="G140" s="610">
        <f>IFERROR(GETPIVOTDATA(" RP Phase5 Closure",Other!$A$7,"Group",1,"SBU","BnB","Project Type","PPSA","postingdate",VLOOKUP($B$2,myMonth,2,FALSE)),0)</f>
        <v>1</v>
      </c>
      <c r="H140" s="609">
        <f t="shared" si="69"/>
        <v>1</v>
      </c>
      <c r="I140" s="404"/>
      <c r="J140" s="404"/>
      <c r="K140" s="404"/>
      <c r="L140" s="404"/>
      <c r="M140" s="404"/>
      <c r="N140" s="404"/>
      <c r="O140" s="404"/>
      <c r="P140" s="288"/>
      <c r="Q140" s="288"/>
      <c r="R140" s="288"/>
      <c r="S140" s="288"/>
      <c r="T140" s="288"/>
      <c r="U140" s="288"/>
      <c r="V140" s="288"/>
      <c r="W140" s="288"/>
      <c r="X140" s="287"/>
      <c r="Y140" s="287"/>
      <c r="Z140" s="287"/>
      <c r="AA140" s="287"/>
      <c r="AB140" s="287"/>
    </row>
    <row r="141" spans="2:28" ht="15.75" thickBot="1">
      <c r="B141" s="722"/>
      <c r="C141" s="292" t="s">
        <v>69</v>
      </c>
      <c r="D141" s="610">
        <f>IFERROR(GETPIVOTDATA(" RP Phase1-2",Other!$A$7,"Group",1,"SBU","PC","Project Type","PPSA","postingdate",VLOOKUP($B$2,myMonth,2,FALSE)),0)</f>
        <v>0</v>
      </c>
      <c r="E141" s="610">
        <f>IFERROR(GETPIVOTDATA(" RP Phase3-4",Other!$A$7,"Group",1,"SBU","PC","Project Type","PPSA","postingdate",VLOOKUP($B$2,myMonth,2,FALSE)),0)</f>
        <v>0</v>
      </c>
      <c r="F141" s="608">
        <f t="shared" si="68"/>
        <v>0</v>
      </c>
      <c r="G141" s="610">
        <f>IFERROR(GETPIVOTDATA(" RP Phase5 Closure",Other!$A$7,"Group",1,"SBU","PC","Project Type","PPSA","postingdate",VLOOKUP($B$2,myMonth,2,FALSE)),0)</f>
        <v>0</v>
      </c>
      <c r="H141" s="609">
        <f t="shared" si="69"/>
        <v>0</v>
      </c>
      <c r="I141" s="404"/>
      <c r="J141" s="404"/>
      <c r="K141" s="404"/>
      <c r="L141" s="404"/>
      <c r="M141" s="404"/>
      <c r="N141" s="404"/>
      <c r="O141" s="404"/>
      <c r="P141" s="288"/>
      <c r="Q141" s="288"/>
      <c r="R141" s="288"/>
      <c r="S141" s="288"/>
      <c r="T141" s="288"/>
      <c r="U141" s="288"/>
      <c r="V141" s="288"/>
      <c r="W141" s="288"/>
      <c r="X141" s="287"/>
      <c r="Y141" s="287"/>
      <c r="Z141" s="287"/>
      <c r="AA141" s="287"/>
      <c r="AB141" s="287"/>
    </row>
    <row r="142" spans="2:28" ht="15.75" thickBot="1">
      <c r="B142" s="722"/>
      <c r="C142" s="292" t="s">
        <v>70</v>
      </c>
      <c r="D142" s="610">
        <f>IFERROR(GETPIVOTDATA(" RP Phase1-2",Other!$A$7,"Group",1,"SBU","LC","Project Type","PPSA","postingdate",VLOOKUP($B$2,myMonth,2,FALSE)),0)</f>
        <v>0</v>
      </c>
      <c r="E142" s="610">
        <f>IFERROR(GETPIVOTDATA(" RP Phase3-4",Other!$A$7,"Group",1,"SBU","LC","Project Type","PPSA","postingdate",VLOOKUP($B$2,myMonth,2,FALSE)),0)</f>
        <v>0</v>
      </c>
      <c r="F142" s="608">
        <f t="shared" si="68"/>
        <v>0</v>
      </c>
      <c r="G142" s="610">
        <f>IFERROR(GETPIVOTDATA(" RP Phase5 Closure",Other!$A$7,"Group",1,"SBU","LC","Project Type","PPSA","postingdate",VLOOKUP($B$2,myMonth,2,FALSE)),0)</f>
        <v>0</v>
      </c>
      <c r="H142" s="609">
        <f t="shared" si="69"/>
        <v>0</v>
      </c>
      <c r="I142" s="404"/>
      <c r="J142" s="404"/>
      <c r="K142" s="404"/>
      <c r="L142" s="404"/>
      <c r="M142" s="404"/>
      <c r="N142" s="404"/>
      <c r="O142" s="404"/>
      <c r="P142" s="288"/>
      <c r="Q142" s="288"/>
      <c r="R142" s="288"/>
      <c r="S142" s="288"/>
      <c r="T142" s="288"/>
      <c r="U142" s="288"/>
      <c r="V142" s="288"/>
      <c r="W142" s="288"/>
      <c r="X142" s="287"/>
      <c r="Y142" s="287"/>
      <c r="Z142" s="287"/>
      <c r="AA142" s="287"/>
      <c r="AB142" s="287"/>
    </row>
    <row r="143" spans="2:28" ht="15.75" thickBot="1">
      <c r="B143" s="722"/>
      <c r="C143" s="292" t="s">
        <v>71</v>
      </c>
      <c r="D143" s="610">
        <f>IFERROR(GETPIVOTDATA(" RP Phase1-2",Other!$A$7,"Group",1,"SBU","H.Comf","Project Type","PPSA","postingdate",VLOOKUP($B$2,myMonth,2,FALSE)),0)</f>
        <v>0</v>
      </c>
      <c r="E143" s="610">
        <f>IFERROR(GETPIVOTDATA(" RP Phase3-4",Other!$A$7,"Group",1,"SBU","H.Comf","Project Type","PPSA","postingdate",VLOOKUP($B$2,myMonth,2,FALSE)),0)</f>
        <v>0</v>
      </c>
      <c r="F143" s="608">
        <f t="shared" si="68"/>
        <v>0</v>
      </c>
      <c r="G143" s="610">
        <f>IFERROR(GETPIVOTDATA(" RP Phase5 Closure",Other!$A$7,"Group",1,"SBU","H.Comf","Project Type","PPSA","postingdate",VLOOKUP($B$2,myMonth,2,FALSE)),0)</f>
        <v>0</v>
      </c>
      <c r="H143" s="609">
        <f t="shared" si="69"/>
        <v>0</v>
      </c>
      <c r="I143" s="404"/>
      <c r="J143" s="404"/>
      <c r="K143" s="404"/>
      <c r="L143" s="404"/>
      <c r="M143" s="404"/>
      <c r="N143" s="404"/>
      <c r="O143" s="404"/>
      <c r="P143" s="288"/>
      <c r="Q143" s="288"/>
      <c r="R143" s="288"/>
      <c r="S143" s="288"/>
      <c r="T143" s="288"/>
      <c r="U143" s="288"/>
      <c r="V143" s="288"/>
      <c r="W143" s="288"/>
      <c r="X143" s="287"/>
      <c r="Y143" s="287"/>
      <c r="Z143" s="287"/>
      <c r="AA143" s="287"/>
      <c r="AB143" s="287"/>
    </row>
    <row r="144" spans="2:28" ht="15.75" thickBot="1">
      <c r="B144" s="722"/>
      <c r="C144" s="292" t="s">
        <v>72</v>
      </c>
      <c r="D144" s="610">
        <f>IFERROR(GETPIVOTDATA(" RP Phase1-2",Other!$A$7,"Group",1,"SBU","H.Clean","Project Type","PPSA","postingdate",VLOOKUP($B$2,myMonth,2,FALSE)),0)</f>
        <v>0</v>
      </c>
      <c r="E144" s="610">
        <f>IFERROR(GETPIVOTDATA(" RP Phase3-4",Other!$A$7,"Group",1,"SBU","H.Clean","Project Type","PPSA","postingdate",VLOOKUP($B$2,myMonth,2,FALSE)),0)</f>
        <v>0</v>
      </c>
      <c r="F144" s="608">
        <f t="shared" si="68"/>
        <v>0</v>
      </c>
      <c r="G144" s="610">
        <f>IFERROR(GETPIVOTDATA(" RP Phase5 Closure",Other!$A$7,"Group",1,"SBU","H.Clean","Project Type","PPSA","postingdate",VLOOKUP($B$2,myMonth,2,FALSE)),0)</f>
        <v>0</v>
      </c>
      <c r="H144" s="609">
        <f t="shared" si="69"/>
        <v>0</v>
      </c>
      <c r="I144" s="404"/>
      <c r="J144" s="404"/>
      <c r="K144" s="404"/>
      <c r="L144" s="404"/>
      <c r="M144" s="404"/>
      <c r="N144" s="404"/>
      <c r="O144" s="404"/>
      <c r="P144" s="287"/>
      <c r="Q144" s="287"/>
      <c r="R144" s="287"/>
      <c r="S144" s="287"/>
      <c r="T144" s="287"/>
      <c r="U144" s="287"/>
      <c r="V144" s="287"/>
      <c r="W144" s="287"/>
      <c r="X144" s="287"/>
      <c r="Y144" s="287"/>
      <c r="Z144" s="287"/>
      <c r="AA144" s="287"/>
      <c r="AB144" s="287"/>
    </row>
    <row r="145" spans="2:28" ht="15.75" thickBot="1">
      <c r="B145" s="722"/>
      <c r="C145" s="292" t="s">
        <v>73</v>
      </c>
      <c r="D145" s="610">
        <f>IFERROR(GETPIVOTDATA(" RP Phase1-2",Other!$A$7,"Group",1,"SBU","CK","Project Type","PPSA","postingdate",VLOOKUP($B$2,myMonth,2,FALSE)),0)</f>
        <v>0</v>
      </c>
      <c r="E145" s="610">
        <f>IFERROR(GETPIVOTDATA(" RP Phase3-4",Other!$A$7,"Group",1,"SBU","CK","Project Type","PPSA","postingdate",VLOOKUP($B$2,myMonth,2,FALSE)),0)</f>
        <v>0</v>
      </c>
      <c r="F145" s="608">
        <f t="shared" si="68"/>
        <v>0</v>
      </c>
      <c r="G145" s="610">
        <f>IFERROR(GETPIVOTDATA(" RP Phase5 Closure",Other!$A$7,"Group",1,"SBU","CK","Project Type","PPSA","postingdate",VLOOKUP($B$2,myMonth,2,FALSE)),0)</f>
        <v>0</v>
      </c>
      <c r="H145" s="609">
        <f t="shared" si="69"/>
        <v>0</v>
      </c>
      <c r="I145" s="404"/>
      <c r="J145" s="404"/>
      <c r="K145" s="404"/>
      <c r="L145" s="404"/>
      <c r="M145" s="404"/>
      <c r="N145" s="404"/>
      <c r="O145" s="404"/>
      <c r="P145" s="287"/>
      <c r="Q145" s="287"/>
      <c r="R145" s="287"/>
      <c r="S145" s="287"/>
      <c r="T145" s="287"/>
      <c r="U145" s="287"/>
      <c r="V145" s="287"/>
      <c r="W145" s="287"/>
      <c r="X145" s="287"/>
      <c r="Y145" s="287"/>
      <c r="Z145" s="287"/>
      <c r="AA145" s="287"/>
      <c r="AB145" s="287"/>
    </row>
    <row r="146" spans="2:28" ht="15.75" thickBot="1">
      <c r="B146" s="722"/>
      <c r="C146" s="293" t="s">
        <v>74</v>
      </c>
      <c r="D146" s="611">
        <f>IFERROR(GETPIVOTDATA(" RP Phase1-2",Other!$A$7,"Group",1,"SBU","SA","Project Type","PPSA","postingdate",VLOOKUP($B$2,myMonth,2,FALSE)),0)</f>
        <v>0</v>
      </c>
      <c r="E146" s="611">
        <f>IFERROR(GETPIVOTDATA(" RP Phase3-4",Other!$A$7,"Group",1,"SBU","SA","Project Type","PPSA","postingdate",VLOOKUP($B$2,myMonth,2,FALSE)),0)</f>
        <v>0</v>
      </c>
      <c r="F146" s="608">
        <f t="shared" si="68"/>
        <v>0</v>
      </c>
      <c r="G146" s="611">
        <f>IFERROR(GETPIVOTDATA(" RP Phase5 Closure",Other!$A$7,"Group",1,"SBU","SA","Project Type","PPSA","postingdate",VLOOKUP($B$2,myMonth,2,FALSE)),0)</f>
        <v>0</v>
      </c>
      <c r="H146" s="609">
        <f t="shared" si="69"/>
        <v>0</v>
      </c>
      <c r="I146" s="288"/>
      <c r="J146" s="288"/>
      <c r="K146" s="288"/>
      <c r="L146" s="288"/>
      <c r="M146" s="288"/>
      <c r="N146" s="288"/>
      <c r="O146" s="288"/>
      <c r="P146" s="287"/>
      <c r="Q146" s="287"/>
      <c r="R146" s="287"/>
      <c r="S146" s="287"/>
      <c r="T146" s="287"/>
      <c r="U146" s="287"/>
      <c r="V146" s="287"/>
      <c r="W146" s="287"/>
      <c r="X146" s="287"/>
      <c r="Y146" s="287"/>
      <c r="Z146" s="287"/>
      <c r="AA146" s="287"/>
      <c r="AB146" s="287"/>
    </row>
    <row r="147" spans="2:28" ht="15.75" thickBot="1">
      <c r="B147" s="723"/>
      <c r="C147" s="296" t="s">
        <v>188</v>
      </c>
      <c r="D147" s="612">
        <f>SUM(D138:D146)</f>
        <v>0</v>
      </c>
      <c r="E147" s="612">
        <f t="shared" ref="E147" si="70">SUM(E138:E146)</f>
        <v>1</v>
      </c>
      <c r="F147" s="612">
        <f t="shared" ref="F147" si="71">SUM(F138:F146)</f>
        <v>1</v>
      </c>
      <c r="G147" s="612">
        <f t="shared" ref="G147" si="72">SUM(G138:G146)</f>
        <v>1</v>
      </c>
      <c r="H147" s="612">
        <f t="shared" ref="H147" si="73">SUM(H138:H146)</f>
        <v>2</v>
      </c>
      <c r="I147" s="288"/>
      <c r="J147" s="288"/>
      <c r="K147" s="288"/>
      <c r="L147" s="288"/>
      <c r="M147" s="288"/>
      <c r="N147" s="288"/>
      <c r="O147" s="288"/>
      <c r="P147" s="287"/>
      <c r="Q147" s="287"/>
      <c r="R147" s="287"/>
      <c r="S147" s="287"/>
      <c r="T147" s="287"/>
      <c r="U147" s="287"/>
      <c r="V147" s="287"/>
      <c r="W147" s="287"/>
      <c r="X147" s="287"/>
      <c r="Y147" s="287"/>
      <c r="Z147" s="287"/>
      <c r="AA147" s="287"/>
      <c r="AB147" s="287"/>
    </row>
    <row r="148" spans="2:28"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7"/>
      <c r="Q148" s="287"/>
      <c r="R148" s="287"/>
      <c r="S148" s="287"/>
      <c r="T148" s="287"/>
      <c r="U148" s="287"/>
      <c r="V148" s="287"/>
      <c r="W148" s="287"/>
      <c r="X148" s="287"/>
      <c r="Y148" s="287"/>
      <c r="Z148" s="287"/>
      <c r="AA148" s="287"/>
      <c r="AB148" s="287"/>
    </row>
    <row r="149" spans="2:28">
      <c r="B149" s="606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7"/>
      <c r="Q149" s="287"/>
      <c r="R149" s="287"/>
      <c r="S149" s="287"/>
      <c r="T149" s="287"/>
      <c r="U149" s="287"/>
      <c r="V149" s="287"/>
      <c r="W149" s="287"/>
      <c r="X149" s="287"/>
      <c r="Y149" s="287"/>
      <c r="Z149" s="287"/>
      <c r="AA149" s="287"/>
      <c r="AB149" s="287"/>
    </row>
    <row r="150" spans="2:28"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7"/>
      <c r="Q150" s="287"/>
      <c r="R150" s="287"/>
      <c r="S150" s="287"/>
      <c r="T150" s="287"/>
      <c r="U150" s="287"/>
      <c r="V150" s="287"/>
      <c r="W150" s="287"/>
      <c r="X150" s="287"/>
      <c r="Y150" s="287"/>
      <c r="Z150" s="287"/>
      <c r="AA150" s="287"/>
      <c r="AB150" s="287"/>
    </row>
    <row r="151" spans="2:28"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7"/>
      <c r="Q151" s="287"/>
      <c r="R151" s="287"/>
      <c r="S151" s="287"/>
      <c r="T151" s="287"/>
      <c r="U151" s="287"/>
      <c r="V151" s="287"/>
      <c r="W151" s="287"/>
      <c r="X151" s="287"/>
      <c r="Y151" s="287"/>
      <c r="Z151" s="287"/>
      <c r="AA151" s="287"/>
      <c r="AB151" s="287"/>
    </row>
    <row r="152" spans="2:28" ht="15.75" thickBot="1"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7"/>
      <c r="Q152" s="287"/>
      <c r="R152" s="287"/>
      <c r="S152" s="287"/>
      <c r="T152" s="287"/>
      <c r="U152" s="287"/>
      <c r="V152" s="287"/>
      <c r="W152" s="287"/>
      <c r="X152" s="287"/>
      <c r="Y152" s="287"/>
      <c r="Z152" s="287"/>
      <c r="AA152" s="287"/>
      <c r="AB152" s="287"/>
    </row>
    <row r="153" spans="2:28" ht="15.75" thickBot="1">
      <c r="B153" s="565"/>
      <c r="C153" s="563"/>
      <c r="D153" s="564"/>
      <c r="E153" s="729" t="s">
        <v>189</v>
      </c>
      <c r="F153" s="730"/>
      <c r="G153" s="730"/>
      <c r="H153" s="730"/>
      <c r="I153" s="730"/>
      <c r="J153" s="730"/>
      <c r="K153" s="730"/>
      <c r="L153" s="730"/>
      <c r="M153" s="730"/>
      <c r="N153" s="730"/>
      <c r="O153" s="731"/>
      <c r="P153" s="287"/>
      <c r="Q153" s="287"/>
      <c r="R153" s="287"/>
      <c r="S153" s="287"/>
      <c r="T153" s="287"/>
      <c r="U153" s="287"/>
      <c r="V153" s="287"/>
      <c r="W153" s="287"/>
      <c r="X153" s="287"/>
      <c r="Y153" s="287"/>
      <c r="Z153" s="287"/>
      <c r="AA153" s="287"/>
      <c r="AB153" s="287"/>
    </row>
    <row r="154" spans="2:28" ht="64.5" thickBot="1">
      <c r="B154" s="566" t="str">
        <f>B2</f>
        <v>FEB</v>
      </c>
      <c r="C154" s="732"/>
      <c r="D154" s="733"/>
      <c r="E154" s="601" t="s">
        <v>190</v>
      </c>
      <c r="F154" s="305" t="s">
        <v>180</v>
      </c>
      <c r="G154" s="305" t="s">
        <v>181</v>
      </c>
      <c r="H154" s="312" t="s">
        <v>182</v>
      </c>
      <c r="I154" s="305" t="s">
        <v>11</v>
      </c>
      <c r="J154" s="605" t="s">
        <v>191</v>
      </c>
      <c r="K154" s="636" t="s">
        <v>192</v>
      </c>
      <c r="L154" s="639" t="s">
        <v>193</v>
      </c>
      <c r="M154" s="641" t="s">
        <v>194</v>
      </c>
      <c r="N154" s="641" t="s">
        <v>195</v>
      </c>
      <c r="O154" s="640" t="s">
        <v>196</v>
      </c>
      <c r="P154" s="287"/>
      <c r="Q154" s="287"/>
      <c r="R154" s="287"/>
      <c r="S154" s="287"/>
      <c r="T154" s="287"/>
      <c r="U154" s="287"/>
      <c r="V154" s="287"/>
      <c r="W154" s="287"/>
      <c r="X154" s="287"/>
      <c r="Y154" s="287"/>
      <c r="Z154" s="287"/>
      <c r="AA154" s="287"/>
      <c r="AB154" s="287"/>
    </row>
    <row r="155" spans="2:28" ht="15.75" thickBot="1">
      <c r="B155" s="721" t="s">
        <v>167</v>
      </c>
      <c r="C155" s="734" t="s">
        <v>31</v>
      </c>
      <c r="D155" s="735"/>
      <c r="E155" s="704" t="s">
        <v>197</v>
      </c>
      <c r="F155" s="619">
        <f>IFERROR(GETPIVOTDATA(" RP Phase1-2",Other!$CC$7,"postingdate",VLOOKUP($B$2,myMonth,2,FALSE),"rank",1),0)</f>
        <v>0</v>
      </c>
      <c r="G155" s="620">
        <f>IFERROR(GETPIVOTDATA(" RP Phase3-4",Other!$CC$7,"postingdate",VLOOKUP($B$2,myMonth,2,FALSE),"rank",1),0)</f>
        <v>0</v>
      </c>
      <c r="H155" s="621">
        <f>SUM(F155:G155)</f>
        <v>0</v>
      </c>
      <c r="I155" s="620">
        <f>IFERROR(GETPIVOTDATA(" RP Phase5 Closure",Other!$CC$7,"postingdate",VLOOKUP($B$2,myMonth,2,FALSE),"rank",1),0)</f>
        <v>0</v>
      </c>
      <c r="J155" s="622">
        <f>SUM(H155:I155)</f>
        <v>0</v>
      </c>
      <c r="K155" s="602">
        <f>IFERROR(GETPIVOTDATA(" RP4",Other!$CP$7,"rank",1),0)</f>
        <v>0</v>
      </c>
      <c r="L155" s="642">
        <f>IFERROR(GETPIVOTDATA("Count of RP4+RAMP UP Success",Other!$CP$7,"rank",1),0)</f>
        <v>0</v>
      </c>
      <c r="M155" s="643">
        <f>IFERROR(GETPIVOTDATA("Count of Delayed",Other!$CP$7,"rank",1),0)-IFERROR(GETPIVOTDATA(" Delayed",Other!$CP$7,"rank",1),0)</f>
        <v>0</v>
      </c>
      <c r="N155" s="644">
        <f>IFERROR(GETPIVOTDATA(" Delayed",Other!$CP$7,"rank",1),0)</f>
        <v>0</v>
      </c>
      <c r="O155" s="645" t="str">
        <f>IF(M155=0,"NIL",(M155-N155)/M155)</f>
        <v>NIL</v>
      </c>
      <c r="P155" s="287"/>
      <c r="Q155" s="287"/>
      <c r="R155" s="287"/>
      <c r="S155" s="287"/>
      <c r="T155" s="287"/>
      <c r="U155" s="287"/>
      <c r="V155" s="287"/>
      <c r="W155" s="287"/>
      <c r="X155" s="287"/>
      <c r="Y155" s="287"/>
      <c r="Z155" s="287"/>
      <c r="AA155" s="287"/>
      <c r="AB155" s="287"/>
    </row>
    <row r="156" spans="2:28" ht="15.75" thickBot="1">
      <c r="B156" s="722"/>
      <c r="C156" s="719" t="s">
        <v>198</v>
      </c>
      <c r="D156" s="720"/>
      <c r="E156" s="567" t="s">
        <v>197</v>
      </c>
      <c r="F156" s="623">
        <f>IFERROR(GETPIVOTDATA(" RP Phase1-2",Other!$CC$7,"postingdate",VLOOKUP($B$2,myMonth,2,FALSE),"rank",2),0)</f>
        <v>0</v>
      </c>
      <c r="G156" s="624">
        <f>IFERROR(GETPIVOTDATA(" RP Phase3-4",Other!$CC$7,"postingdate",VLOOKUP($B$2,myMonth,2,FALSE),"rank",2),0)</f>
        <v>0</v>
      </c>
      <c r="H156" s="625">
        <f t="shared" ref="H156:J169" si="74">SUM(F156:G156)</f>
        <v>0</v>
      </c>
      <c r="I156" s="624">
        <f>IFERROR(GETPIVOTDATA(" RP Phase5 Closure",Other!$CC$7,"postingdate",VLOOKUP($B$2,myMonth,2,FALSE),"rank",2),0)</f>
        <v>0</v>
      </c>
      <c r="J156" s="626">
        <f t="shared" si="74"/>
        <v>0</v>
      </c>
      <c r="K156" s="603">
        <f>IFERROR(GETPIVOTDATA(" RP4",Other!$CP$7,"rank",2),0)</f>
        <v>0</v>
      </c>
      <c r="L156" s="646">
        <f>IFERROR(GETPIVOTDATA("Count of RP4+RAMP UP Success",Other!$CP$7,"rank",2),0)</f>
        <v>0</v>
      </c>
      <c r="M156" s="647">
        <f>IFERROR(GETPIVOTDATA("Count of Delayed",Other!$CP$7,"rank",2),0)-IFERROR(GETPIVOTDATA(" Delayed",Other!$CP$7,"rank",2),0)</f>
        <v>0</v>
      </c>
      <c r="N156" s="648">
        <f>IFERROR(GETPIVOTDATA(" Delayed",Other!$CP$7,"rank",2),0)</f>
        <v>0</v>
      </c>
      <c r="O156" s="649" t="str">
        <f t="shared" ref="O156:O169" si="75">IF(M156=0,"NIL",(M156-N156)/M156)</f>
        <v>NIL</v>
      </c>
      <c r="P156" s="287"/>
      <c r="Q156" s="287"/>
      <c r="R156" s="287"/>
      <c r="S156" s="287"/>
      <c r="T156" s="287"/>
      <c r="U156" s="287"/>
      <c r="V156" s="287"/>
      <c r="W156" s="287"/>
      <c r="X156" s="287"/>
      <c r="Y156" s="287"/>
      <c r="Z156" s="287"/>
      <c r="AA156" s="287"/>
      <c r="AB156" s="287"/>
    </row>
    <row r="157" spans="2:28" ht="15.75" thickBot="1">
      <c r="B157" s="722"/>
      <c r="C157" s="719" t="s">
        <v>44</v>
      </c>
      <c r="D157" s="720"/>
      <c r="E157" s="567" t="s">
        <v>199</v>
      </c>
      <c r="F157" s="623">
        <f>IFERROR(GETPIVOTDATA(" RP Phase1-2",Other!$CC$7,"postingdate",VLOOKUP($B$2,myMonth,2,FALSE),"rank",3),0)</f>
        <v>1</v>
      </c>
      <c r="G157" s="624">
        <f>IFERROR(GETPIVOTDATA(" RP Phase3-4",Other!$CC$7,"postingdate",VLOOKUP($B$2,myMonth,2,FALSE),"rank",3),0)</f>
        <v>2</v>
      </c>
      <c r="H157" s="625">
        <f t="shared" si="74"/>
        <v>3</v>
      </c>
      <c r="I157" s="624">
        <f>IFERROR(GETPIVOTDATA(" RP Phase5 Closure",Other!$CC$7,"postingdate",VLOOKUP($B$2,myMonth,2,FALSE),"rank",3),0)</f>
        <v>0</v>
      </c>
      <c r="J157" s="626">
        <f t="shared" si="74"/>
        <v>3</v>
      </c>
      <c r="K157" s="603">
        <f>IFERROR(GETPIVOTDATA(" RP4",Other!$CP$7,"rank",3),0)</f>
        <v>1</v>
      </c>
      <c r="L157" s="646">
        <f>IFERROR(GETPIVOTDATA("Count of RP4+RAMP UP Success",Other!$CP$7,"rank",3),0)</f>
        <v>1</v>
      </c>
      <c r="M157" s="647">
        <f>IFERROR(GETPIVOTDATA("Count of Delayed",Other!$CP$7,"rank",3),0)-IFERROR(GETPIVOTDATA(" Delayed",Other!$CP$7,"rank",3),0)</f>
        <v>1</v>
      </c>
      <c r="N157" s="648">
        <f>IFERROR(GETPIVOTDATA(" Delayed",Other!$CP$7,"rank",3),0)</f>
        <v>0</v>
      </c>
      <c r="O157" s="649">
        <f t="shared" si="75"/>
        <v>1</v>
      </c>
      <c r="P157" s="287"/>
      <c r="Q157" s="287"/>
      <c r="R157" s="287"/>
      <c r="S157" s="287"/>
      <c r="T157" s="287"/>
      <c r="U157" s="287"/>
      <c r="V157" s="287"/>
      <c r="W157" s="287"/>
      <c r="X157" s="287"/>
      <c r="Y157" s="287"/>
      <c r="Z157" s="287"/>
      <c r="AA157" s="287"/>
      <c r="AB157" s="287"/>
    </row>
    <row r="158" spans="2:28" ht="15.75" thickBot="1">
      <c r="B158" s="722"/>
      <c r="C158" s="719" t="s">
        <v>200</v>
      </c>
      <c r="D158" s="720"/>
      <c r="E158" s="567" t="s">
        <v>197</v>
      </c>
      <c r="F158" s="623">
        <f>IFERROR(GETPIVOTDATA(" RP Phase1-2",Other!$CC$7,"postingdate",VLOOKUP($B$2,myMonth,2,FALSE),"rank",4),0)</f>
        <v>0</v>
      </c>
      <c r="G158" s="624">
        <f>IFERROR(GETPIVOTDATA(" RP Phase3-4",Other!$CC$7,"postingdate",VLOOKUP($B$2,myMonth,2,FALSE),"rank",4),0)</f>
        <v>1</v>
      </c>
      <c r="H158" s="625">
        <f t="shared" si="74"/>
        <v>1</v>
      </c>
      <c r="I158" s="624">
        <f>IFERROR(GETPIVOTDATA(" RP Phase5 Closure",Other!$CC$7,"postingdate",VLOOKUP($B$2,myMonth,2,FALSE),"rank",4),0)</f>
        <v>0</v>
      </c>
      <c r="J158" s="626">
        <f t="shared" si="74"/>
        <v>1</v>
      </c>
      <c r="K158" s="604">
        <f>IFERROR(GETPIVOTDATA(" RP4",Other!$CP$7,"rank",4),0)</f>
        <v>0</v>
      </c>
      <c r="L158" s="646">
        <f>IFERROR(GETPIVOTDATA("Count of RP4+RAMP UP Success",Other!$CP$7,"rank",4),0)</f>
        <v>0</v>
      </c>
      <c r="M158" s="647">
        <f>IFERROR(GETPIVOTDATA("Count of Delayed",Other!$CP$7,"rank",4),0)-IFERROR(GETPIVOTDATA(" Delayed",Other!$CP$7,"rank",4),0)</f>
        <v>0</v>
      </c>
      <c r="N158" s="648">
        <f>IFERROR(GETPIVOTDATA(" Delayed",Other!$CP$7,"rank",4),0)</f>
        <v>0</v>
      </c>
      <c r="O158" s="649" t="str">
        <f t="shared" si="75"/>
        <v>NIL</v>
      </c>
      <c r="P158" s="287"/>
      <c r="Q158" s="287"/>
      <c r="R158" s="287"/>
      <c r="S158" s="287"/>
      <c r="T158" s="287"/>
      <c r="U158" s="287"/>
      <c r="V158" s="287"/>
      <c r="W158" s="287"/>
      <c r="X158" s="287"/>
      <c r="Y158" s="287"/>
      <c r="Z158" s="287"/>
      <c r="AA158" s="287"/>
      <c r="AB158" s="287"/>
    </row>
    <row r="159" spans="2:28" ht="15.75" thickBot="1">
      <c r="B159" s="722"/>
      <c r="C159" s="719" t="s">
        <v>23</v>
      </c>
      <c r="D159" s="720"/>
      <c r="E159" s="567" t="s">
        <v>197</v>
      </c>
      <c r="F159" s="623">
        <f>IFERROR(GETPIVOTDATA(" RP Phase1-2",Other!$CC$7,"postingdate",VLOOKUP($B$2,myMonth,2,FALSE),"rank",5),0)</f>
        <v>0</v>
      </c>
      <c r="G159" s="624">
        <f>IFERROR(GETPIVOTDATA(" RP Phase3-4",Other!$CC$7,"postingdate",VLOOKUP($B$2,myMonth,2,FALSE),"rank",5),0)</f>
        <v>0</v>
      </c>
      <c r="H159" s="625">
        <f t="shared" si="74"/>
        <v>0</v>
      </c>
      <c r="I159" s="624">
        <f>IFERROR(GETPIVOTDATA(" RP Phase5 Closure",Other!$CC$7,"postingdate",VLOOKUP($B$2,myMonth,2,FALSE),"rank",5),0)</f>
        <v>0</v>
      </c>
      <c r="J159" s="626">
        <f t="shared" si="74"/>
        <v>0</v>
      </c>
      <c r="K159" s="604">
        <f>IFERROR(GETPIVOTDATA(" RP4",Other!$CP$7,"rank",5),0)</f>
        <v>0</v>
      </c>
      <c r="L159" s="646">
        <f>IFERROR(GETPIVOTDATA("Count of RP4+RAMP UP Success",Other!$CP$7,"rank",5),0)</f>
        <v>0</v>
      </c>
      <c r="M159" s="647">
        <f>IFERROR(GETPIVOTDATA("Count of Delayed",Other!$CP$7,"rank",5),0)-IFERROR(GETPIVOTDATA(" Delayed",Other!$CP$7,"rank",5),0)</f>
        <v>0</v>
      </c>
      <c r="N159" s="648">
        <f>IFERROR(GETPIVOTDATA(" Delayed",Other!$CP$7,"rank",5),0)</f>
        <v>0</v>
      </c>
      <c r="O159" s="649" t="str">
        <f t="shared" si="75"/>
        <v>NIL</v>
      </c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7"/>
    </row>
    <row r="160" spans="2:28" ht="15.75" thickBot="1">
      <c r="B160" s="722"/>
      <c r="C160" s="719" t="s">
        <v>27</v>
      </c>
      <c r="D160" s="720"/>
      <c r="E160" s="567" t="s">
        <v>197</v>
      </c>
      <c r="F160" s="623">
        <f>IFERROR(GETPIVOTDATA(" RP Phase1-2",Other!$CC$7,"postingdate",VLOOKUP($B$2,myMonth,2,FALSE),"rank",6),0)</f>
        <v>0</v>
      </c>
      <c r="G160" s="624">
        <f>IFERROR(GETPIVOTDATA(" RP Phase3-4",Other!$CC$7,"postingdate",VLOOKUP($B$2,myMonth,2,FALSE),"rank",6),0)</f>
        <v>0</v>
      </c>
      <c r="H160" s="625">
        <f t="shared" si="74"/>
        <v>0</v>
      </c>
      <c r="I160" s="624">
        <f>IFERROR(GETPIVOTDATA(" RP Phase5 Closure",Other!$CC$7,"postingdate",VLOOKUP($B$2,myMonth,2,FALSE),"rank",6),0)</f>
        <v>1</v>
      </c>
      <c r="J160" s="626">
        <f t="shared" si="74"/>
        <v>1</v>
      </c>
      <c r="K160" s="604">
        <f>IFERROR(GETPIVOTDATA(" RP4",Other!$CP$7,"rank",6),0)</f>
        <v>1</v>
      </c>
      <c r="L160" s="646">
        <f>IFERROR(GETPIVOTDATA("Count of RP4+RAMP UP Success",Other!$CP$7,"rank",6),0)</f>
        <v>0</v>
      </c>
      <c r="M160" s="647">
        <f>IFERROR(GETPIVOTDATA("Count of Delayed",Other!$CP$7,"rank",6),0)-IFERROR(GETPIVOTDATA(" Delayed",Other!$CP$7,"rank",6),0)</f>
        <v>1</v>
      </c>
      <c r="N160" s="648">
        <f>IFERROR(GETPIVOTDATA(" Delayed",Other!$CP$7,"rank",6),0)</f>
        <v>0</v>
      </c>
      <c r="O160" s="649">
        <f t="shared" si="75"/>
        <v>1</v>
      </c>
      <c r="P160" s="288"/>
      <c r="Q160" s="288"/>
      <c r="R160" s="288"/>
      <c r="S160" s="288"/>
      <c r="T160" s="288"/>
      <c r="U160" s="287"/>
      <c r="V160" s="287"/>
      <c r="W160" s="287"/>
      <c r="X160" s="287"/>
      <c r="Y160" s="287"/>
      <c r="Z160" s="287"/>
      <c r="AA160" s="287"/>
      <c r="AB160" s="287"/>
    </row>
    <row r="161" spans="2:28" ht="15.75" thickBot="1">
      <c r="B161" s="722"/>
      <c r="C161" s="719" t="s">
        <v>40</v>
      </c>
      <c r="D161" s="720"/>
      <c r="E161" s="568" t="s">
        <v>197</v>
      </c>
      <c r="F161" s="623">
        <f>IFERROR(GETPIVOTDATA(" RP Phase1-2",Other!$CC$7,"postingdate",VLOOKUP($B$2,myMonth,2,FALSE),"rank",7),0)</f>
        <v>0</v>
      </c>
      <c r="G161" s="624">
        <f>IFERROR(GETPIVOTDATA(" RP Phase3-4",Other!$CC$7,"postingdate",VLOOKUP($B$2,myMonth,2,FALSE),"rank",7),0)</f>
        <v>1</v>
      </c>
      <c r="H161" s="625">
        <f t="shared" si="74"/>
        <v>1</v>
      </c>
      <c r="I161" s="624">
        <f>IFERROR(GETPIVOTDATA(" RP Phase5 Closure",Other!$CC$7,"postingdate",VLOOKUP($B$2,myMonth,2,FALSE),"rank",7),0)</f>
        <v>1</v>
      </c>
      <c r="J161" s="626">
        <f t="shared" si="74"/>
        <v>2</v>
      </c>
      <c r="K161" s="604">
        <f>IFERROR(GETPIVOTDATA(" RP4",Other!$CP$7,"rank",7),0)</f>
        <v>1</v>
      </c>
      <c r="L161" s="646">
        <f>IFERROR(GETPIVOTDATA("Count of RP4+RAMP UP Success",Other!$CP$7,"rank",7),0)</f>
        <v>0</v>
      </c>
      <c r="M161" s="647">
        <f>IFERROR(GETPIVOTDATA("Count of Delayed",Other!$CP$7,"rank",7),0)-IFERROR(GETPIVOTDATA(" Delayed",Other!$CP$7,"rank",7),0)</f>
        <v>1</v>
      </c>
      <c r="N161" s="648">
        <f>IFERROR(GETPIVOTDATA(" Delayed",Other!$CP$7,"rank",7),0)</f>
        <v>0</v>
      </c>
      <c r="O161" s="649">
        <f t="shared" si="75"/>
        <v>1</v>
      </c>
      <c r="P161" s="288"/>
      <c r="Q161" s="288"/>
      <c r="R161" s="288"/>
      <c r="S161" s="288"/>
      <c r="T161" s="288"/>
      <c r="U161" s="287"/>
      <c r="V161" s="287"/>
      <c r="W161" s="287"/>
      <c r="X161" s="287"/>
      <c r="Y161" s="287"/>
      <c r="Z161" s="287"/>
      <c r="AA161" s="287"/>
      <c r="AB161" s="287"/>
    </row>
    <row r="162" spans="2:28" ht="15.75" thickBot="1">
      <c r="B162" s="722"/>
      <c r="C162" s="719" t="s">
        <v>201</v>
      </c>
      <c r="D162" s="720"/>
      <c r="E162" s="567" t="s">
        <v>197</v>
      </c>
      <c r="F162" s="623">
        <f>IFERROR(GETPIVOTDATA(" RP Phase1-2",Other!$CC$7,"postingdate",VLOOKUP($B$2,myMonth,2,FALSE),"rank",8),0)</f>
        <v>0</v>
      </c>
      <c r="G162" s="624">
        <f>IFERROR(GETPIVOTDATA(" RP Phase3-4",Other!$CC$7,"postingdate",VLOOKUP($B$2,myMonth,2,FALSE),"rank",8),0)</f>
        <v>0</v>
      </c>
      <c r="H162" s="625">
        <f t="shared" si="74"/>
        <v>0</v>
      </c>
      <c r="I162" s="624">
        <f>IFERROR(GETPIVOTDATA(" RP Phase5 Closure",Other!$CC$7,"postingdate",VLOOKUP($B$2,myMonth,2,FALSE),"rank",8),0)</f>
        <v>0</v>
      </c>
      <c r="J162" s="626">
        <f t="shared" si="74"/>
        <v>0</v>
      </c>
      <c r="K162" s="604">
        <f>IFERROR(GETPIVOTDATA(" RP4",Other!$CP$7,"rank",8),0)</f>
        <v>1</v>
      </c>
      <c r="L162" s="646">
        <f>IFERROR(GETPIVOTDATA("Count of RP4+RAMP UP Success",Other!$CP$7,"rank",8),0)</f>
        <v>0</v>
      </c>
      <c r="M162" s="647">
        <f>IFERROR(GETPIVOTDATA("Count of Delayed",Other!$CP$7,"rank",8),0)-IFERROR(GETPIVOTDATA(" Delayed",Other!$CP$7,"rank",8),0)</f>
        <v>1</v>
      </c>
      <c r="N162" s="648">
        <f>IFERROR(GETPIVOTDATA(" Delayed",Other!$CP$7,"rank",8),0)</f>
        <v>0</v>
      </c>
      <c r="O162" s="649">
        <f t="shared" si="75"/>
        <v>1</v>
      </c>
      <c r="P162" s="288"/>
      <c r="Q162" s="288"/>
      <c r="R162" s="288"/>
      <c r="S162" s="288"/>
      <c r="T162" s="288"/>
      <c r="U162" s="287"/>
      <c r="V162" s="287"/>
      <c r="W162" s="287"/>
      <c r="X162" s="287"/>
      <c r="Y162" s="287"/>
      <c r="Z162" s="287"/>
      <c r="AA162" s="287"/>
      <c r="AB162" s="287"/>
    </row>
    <row r="163" spans="2:28" ht="15.75" thickBot="1">
      <c r="B163" s="722"/>
      <c r="C163" s="719" t="s">
        <v>202</v>
      </c>
      <c r="D163" s="720"/>
      <c r="E163" s="568" t="s">
        <v>197</v>
      </c>
      <c r="F163" s="623">
        <f>IFERROR(GETPIVOTDATA(" RP Phase1-2",Other!$CC$7,"postingdate",VLOOKUP($B$2,myMonth,2,FALSE),"rank",9),0)</f>
        <v>0</v>
      </c>
      <c r="G163" s="624">
        <f>IFERROR(GETPIVOTDATA(" RP Phase3-4",Other!$CC$7,"postingdate",VLOOKUP($B$2,myMonth,2,FALSE),"rank",9),0)</f>
        <v>1</v>
      </c>
      <c r="H163" s="625">
        <f t="shared" si="74"/>
        <v>1</v>
      </c>
      <c r="I163" s="624">
        <f>IFERROR(GETPIVOTDATA(" RP Phase5 Closure",Other!$CC$7,"postingdate",VLOOKUP($B$2,myMonth,2,FALSE),"rank",9),0)</f>
        <v>0</v>
      </c>
      <c r="J163" s="626">
        <f t="shared" si="74"/>
        <v>1</v>
      </c>
      <c r="K163" s="604">
        <f>IFERROR(GETPIVOTDATA(" RP4",Other!$CP$7,"rank",9),0)</f>
        <v>0</v>
      </c>
      <c r="L163" s="646">
        <f>IFERROR(GETPIVOTDATA("Count of RP4+RAMP UP Success",Other!$CP$7,"rank",9),0)</f>
        <v>0</v>
      </c>
      <c r="M163" s="647">
        <f>IFERROR(GETPIVOTDATA("Count of Delayed",Other!$CP$7,"rank",9),0)-IFERROR(GETPIVOTDATA(" Delayed",Other!$CP$7,"rank",9),0)</f>
        <v>0</v>
      </c>
      <c r="N163" s="648">
        <f>IFERROR(GETPIVOTDATA(" Delayed",Other!$CP$7,"rank",9),0)</f>
        <v>0</v>
      </c>
      <c r="O163" s="649" t="str">
        <f t="shared" si="75"/>
        <v>NIL</v>
      </c>
      <c r="P163" s="288"/>
      <c r="Q163" s="288"/>
      <c r="R163" s="288"/>
      <c r="S163" s="288"/>
      <c r="T163" s="288"/>
      <c r="U163" s="287"/>
      <c r="V163" s="287"/>
      <c r="W163" s="287"/>
      <c r="X163" s="287"/>
      <c r="Y163" s="287"/>
      <c r="Z163" s="287"/>
      <c r="AA163" s="287"/>
      <c r="AB163" s="287"/>
    </row>
    <row r="164" spans="2:28" ht="15.75" thickBot="1">
      <c r="B164" s="722"/>
      <c r="C164" s="719" t="s">
        <v>30</v>
      </c>
      <c r="D164" s="720"/>
      <c r="E164" s="568" t="s">
        <v>197</v>
      </c>
      <c r="F164" s="623">
        <f>IFERROR(GETPIVOTDATA(" RP Phase1-2",Other!$CC$7,"postingdate",VLOOKUP($B$2,myMonth,2,FALSE),"rank",10),0)</f>
        <v>0</v>
      </c>
      <c r="G164" s="624">
        <f>IFERROR(GETPIVOTDATA(" RP Phase3-4",Other!$CC$7,"postingdate",VLOOKUP($B$2,myMonth,2,FALSE),"rank",10),0)</f>
        <v>0</v>
      </c>
      <c r="H164" s="625">
        <f t="shared" si="74"/>
        <v>0</v>
      </c>
      <c r="I164" s="624">
        <f>IFERROR(GETPIVOTDATA(" RP Phase5 Closure",Other!$CC$7,"postingdate",VLOOKUP($B$2,myMonth,2,FALSE),"rank",10),0)</f>
        <v>0</v>
      </c>
      <c r="J164" s="626">
        <f t="shared" si="74"/>
        <v>0</v>
      </c>
      <c r="K164" s="604">
        <f>IFERROR(GETPIVOTDATA(" RP4",Other!$CP$7,"rank",10),0)</f>
        <v>0</v>
      </c>
      <c r="L164" s="646">
        <f>IFERROR(GETPIVOTDATA("Count of RP4+RAMP UP Success",Other!$CP$7,"rank",10),0)</f>
        <v>0</v>
      </c>
      <c r="M164" s="647">
        <f>IFERROR(GETPIVOTDATA("Count of Delayed",Other!$CP$7,"rank",10),0)-IFERROR(GETPIVOTDATA(" Delayed",Other!$CP$7,"rank",10),0)</f>
        <v>0</v>
      </c>
      <c r="N164" s="648">
        <f>IFERROR(GETPIVOTDATA(" Delayed",Other!$CP$7,"rank",10),0)</f>
        <v>0</v>
      </c>
      <c r="O164" s="649" t="str">
        <f t="shared" si="75"/>
        <v>NIL</v>
      </c>
      <c r="P164" s="288"/>
      <c r="Q164" s="288"/>
      <c r="R164" s="288"/>
      <c r="S164" s="288"/>
      <c r="T164" s="288"/>
      <c r="U164" s="287"/>
      <c r="V164" s="287"/>
      <c r="W164" s="287"/>
      <c r="X164" s="287"/>
      <c r="Y164" s="287"/>
      <c r="Z164" s="287"/>
      <c r="AA164" s="287"/>
      <c r="AB164" s="287"/>
    </row>
    <row r="165" spans="2:28" ht="15.75" thickBot="1">
      <c r="B165" s="722"/>
      <c r="C165" s="719" t="s">
        <v>32</v>
      </c>
      <c r="D165" s="720"/>
      <c r="E165" s="567" t="s">
        <v>197</v>
      </c>
      <c r="F165" s="623">
        <f>IFERROR(GETPIVOTDATA(" RP Phase1-2",Other!$CC$7,"postingdate",VLOOKUP($B$2,myMonth,2,FALSE),"rank",11),0)</f>
        <v>0</v>
      </c>
      <c r="G165" s="624">
        <f>IFERROR(GETPIVOTDATA(" RP Phase3-4",Other!$CC$7,"postingdate",VLOOKUP($B$2,myMonth,2,FALSE),"rank",11),0)</f>
        <v>0</v>
      </c>
      <c r="H165" s="625">
        <f t="shared" si="74"/>
        <v>0</v>
      </c>
      <c r="I165" s="624">
        <f>IFERROR(GETPIVOTDATA(" RP Phase5 Closure",Other!$CC$7,"postingdate",VLOOKUP($B$2,myMonth,2,FALSE),"rank",11),0)</f>
        <v>0</v>
      </c>
      <c r="J165" s="626">
        <f t="shared" si="74"/>
        <v>0</v>
      </c>
      <c r="K165" s="604">
        <f>IFERROR(GETPIVOTDATA(" RP4",Other!$CP$7,"rank",11),0)</f>
        <v>0</v>
      </c>
      <c r="L165" s="646">
        <f>IFERROR(GETPIVOTDATA("Count of RP4+RAMP UP Success",Other!$CP$7,"rank",11),0)</f>
        <v>0</v>
      </c>
      <c r="M165" s="647">
        <f>IFERROR(GETPIVOTDATA("Count of Delayed",Other!$CP$7,"rank",11),0)-IFERROR(GETPIVOTDATA(" Delayed",Other!$CP$7,"rank",11),0)</f>
        <v>0</v>
      </c>
      <c r="N165" s="648">
        <f>IFERROR(GETPIVOTDATA(" Delayed",Other!$CP$7,"rank",11),0)</f>
        <v>0</v>
      </c>
      <c r="O165" s="649" t="str">
        <f t="shared" si="75"/>
        <v>NIL</v>
      </c>
      <c r="P165" s="288"/>
      <c r="Q165" s="288"/>
      <c r="R165" s="288"/>
      <c r="S165" s="288"/>
      <c r="T165" s="288"/>
      <c r="U165" s="287"/>
      <c r="V165" s="287"/>
      <c r="W165" s="287"/>
      <c r="X165" s="287"/>
      <c r="Y165" s="287"/>
      <c r="Z165" s="287"/>
      <c r="AA165" s="287"/>
      <c r="AB165" s="287"/>
    </row>
    <row r="166" spans="2:28" ht="15.75" thickBot="1">
      <c r="B166" s="722"/>
      <c r="C166" s="719" t="s">
        <v>203</v>
      </c>
      <c r="D166" s="720"/>
      <c r="E166" s="567" t="s">
        <v>199</v>
      </c>
      <c r="F166" s="623">
        <f>IFERROR(GETPIVOTDATA(" RP Phase1-2",Other!$CC$7,"postingdate",VLOOKUP($B$2,myMonth,2,FALSE),"rank",12),0)</f>
        <v>0</v>
      </c>
      <c r="G166" s="624">
        <f>IFERROR(GETPIVOTDATA(" RP Phase3-4",Other!$CC$7,"postingdate",VLOOKUP($B$2,myMonth,2,FALSE),"rank",12),0)</f>
        <v>0</v>
      </c>
      <c r="H166" s="625">
        <f t="shared" si="74"/>
        <v>0</v>
      </c>
      <c r="I166" s="624">
        <f>IFERROR(GETPIVOTDATA(" RP Phase5 Closure",Other!$CC$7,"postingdate",VLOOKUP($B$2,myMonth,2,FALSE),"rank",12),0)</f>
        <v>0</v>
      </c>
      <c r="J166" s="626">
        <f t="shared" si="74"/>
        <v>0</v>
      </c>
      <c r="K166" s="604">
        <f>IFERROR(GETPIVOTDATA(" RP4",Other!$CP$7,"rank",12),0)</f>
        <v>0</v>
      </c>
      <c r="L166" s="646">
        <f>IFERROR(GETPIVOTDATA("Count of RP4+RAMP UP Success",Other!$CP$7,"rank",12),0)</f>
        <v>0</v>
      </c>
      <c r="M166" s="647">
        <f>IFERROR(GETPIVOTDATA("Count of Delayed",Other!$CP$7,"rank",12),0)-IFERROR(GETPIVOTDATA(" Delayed",Other!$CP$7,"rank",12),0)</f>
        <v>0</v>
      </c>
      <c r="N166" s="648">
        <f>IFERROR(GETPIVOTDATA(" Delayed",Other!$CP$7,"rank",12),0)</f>
        <v>0</v>
      </c>
      <c r="O166" s="649" t="str">
        <f t="shared" si="75"/>
        <v>NIL</v>
      </c>
      <c r="P166" s="288"/>
      <c r="Q166" s="288"/>
      <c r="R166" s="288"/>
      <c r="S166" s="288"/>
      <c r="T166" s="288"/>
      <c r="U166" s="287"/>
      <c r="V166" s="287"/>
      <c r="W166" s="287"/>
      <c r="X166" s="287"/>
      <c r="Y166" s="287"/>
      <c r="Z166" s="287"/>
      <c r="AA166" s="287"/>
      <c r="AB166" s="287"/>
    </row>
    <row r="167" spans="2:28" ht="15.75" thickBot="1">
      <c r="B167" s="722"/>
      <c r="C167" s="719" t="s">
        <v>204</v>
      </c>
      <c r="D167" s="720"/>
      <c r="E167" s="568" t="s">
        <v>197</v>
      </c>
      <c r="F167" s="623">
        <f>IFERROR(GETPIVOTDATA(" RP Phase1-2",Other!$CC$7,"postingdate",VLOOKUP($B$2,myMonth,2,FALSE),"rank",13),0)</f>
        <v>0</v>
      </c>
      <c r="G167" s="624">
        <f>IFERROR(GETPIVOTDATA(" RP Phase3-4",Other!$CC$7,"postingdate",VLOOKUP($B$2,myMonth,2,FALSE),"rank",13),0)</f>
        <v>0</v>
      </c>
      <c r="H167" s="625">
        <f t="shared" si="74"/>
        <v>0</v>
      </c>
      <c r="I167" s="624">
        <f>IFERROR(GETPIVOTDATA(" RP Phase5 Closure",Other!$CC$7,"postingdate",VLOOKUP($B$2,myMonth,2,FALSE),"rank",13),0)</f>
        <v>0</v>
      </c>
      <c r="J167" s="626">
        <f t="shared" si="74"/>
        <v>0</v>
      </c>
      <c r="K167" s="604">
        <f>IFERROR(GETPIVOTDATA(" RP4",Other!$CP$7,"rank",13),0)</f>
        <v>0</v>
      </c>
      <c r="L167" s="646">
        <f>IFERROR(GETPIVOTDATA("Count of RP4+RAMP UP Success",Other!$CP$7,"rank",13),0)</f>
        <v>0</v>
      </c>
      <c r="M167" s="647">
        <f>IFERROR(GETPIVOTDATA("Count of Delayed",Other!$CP$7,"rank",13),0)-IFERROR(GETPIVOTDATA(" Delayed",Other!$CP$7,"rank",13),0)</f>
        <v>0</v>
      </c>
      <c r="N167" s="648">
        <f>IFERROR(GETPIVOTDATA(" Delayed",Other!$CP$7,"rank",13),0)</f>
        <v>0</v>
      </c>
      <c r="O167" s="649" t="str">
        <f t="shared" si="75"/>
        <v>NIL</v>
      </c>
      <c r="P167" s="288"/>
      <c r="Q167" s="288"/>
      <c r="R167" s="288"/>
      <c r="S167" s="288"/>
      <c r="T167" s="288"/>
      <c r="U167" s="287"/>
      <c r="V167" s="287"/>
      <c r="W167" s="287"/>
      <c r="X167" s="287"/>
      <c r="Y167" s="287"/>
      <c r="Z167" s="287"/>
      <c r="AA167" s="287"/>
      <c r="AB167" s="287"/>
    </row>
    <row r="168" spans="2:28" ht="15.75" thickBot="1">
      <c r="B168" s="722"/>
      <c r="C168" s="719" t="s">
        <v>205</v>
      </c>
      <c r="D168" s="720"/>
      <c r="E168" s="567" t="s">
        <v>197</v>
      </c>
      <c r="F168" s="623">
        <f>IFERROR(GETPIVOTDATA(" RP Phase1-2",Other!$CC$7,"postingdate",VLOOKUP($B$2,myMonth,2,FALSE),"rank",14),0)</f>
        <v>0</v>
      </c>
      <c r="G168" s="624">
        <f>IFERROR(GETPIVOTDATA(" RP Phase3-4",Other!$CC$7,"postingdate",VLOOKUP($B$2,myMonth,2,FALSE),"rank",14),0)</f>
        <v>1</v>
      </c>
      <c r="H168" s="625">
        <f t="shared" si="74"/>
        <v>1</v>
      </c>
      <c r="I168" s="624">
        <f>IFERROR(GETPIVOTDATA(" RP Phase5 Closure",Other!$CC$7,"postingdate",VLOOKUP($B$2,myMonth,2,FALSE),"rank",14),0)</f>
        <v>0</v>
      </c>
      <c r="J168" s="626">
        <f t="shared" si="74"/>
        <v>1</v>
      </c>
      <c r="K168" s="604">
        <f>IFERROR(GETPIVOTDATA(" RP4",Other!$CP$7,"rank",14),0)</f>
        <v>0</v>
      </c>
      <c r="L168" s="646">
        <f>IFERROR(GETPIVOTDATA("Count of RP4+RAMP UP Success",Other!$CP$7,"rank",14),0)</f>
        <v>0</v>
      </c>
      <c r="M168" s="647">
        <f>IFERROR(GETPIVOTDATA("Count of Delayed",Other!$CP$7,"rank",14),0)-IFERROR(GETPIVOTDATA(" Delayed",Other!$CP$7,"rank",14),0)</f>
        <v>0</v>
      </c>
      <c r="N168" s="648">
        <f>IFERROR(GETPIVOTDATA(" Delayed",Other!$CP$7,"rank",14),0)</f>
        <v>0</v>
      </c>
      <c r="O168" s="649" t="str">
        <f t="shared" si="75"/>
        <v>NIL</v>
      </c>
      <c r="P168" s="288"/>
      <c r="Q168" s="288"/>
      <c r="R168" s="288"/>
      <c r="S168" s="288"/>
      <c r="T168" s="288"/>
      <c r="U168" s="287"/>
      <c r="V168" s="287"/>
      <c r="W168" s="287"/>
      <c r="X168" s="287"/>
      <c r="Y168" s="287"/>
      <c r="Z168" s="287"/>
      <c r="AA168" s="287"/>
      <c r="AB168" s="287"/>
    </row>
    <row r="169" spans="2:28" ht="15.75" thickBot="1">
      <c r="B169" s="722"/>
      <c r="C169" s="762" t="s">
        <v>41</v>
      </c>
      <c r="D169" s="763"/>
      <c r="E169" s="569" t="s">
        <v>199</v>
      </c>
      <c r="F169" s="627">
        <f>IFERROR(GETPIVOTDATA(" RP Phase1-2",Other!$CC$7,"postingdate",VLOOKUP($B$2,myMonth,2,FALSE),"rank",15),0)</f>
        <v>0</v>
      </c>
      <c r="G169" s="628">
        <f>IFERROR(GETPIVOTDATA(" RP Phase3-4",Other!$CC$7,"postingdate",VLOOKUP($B$2,myMonth,2,FALSE),"rank",15),0)</f>
        <v>0</v>
      </c>
      <c r="H169" s="629">
        <f t="shared" si="74"/>
        <v>0</v>
      </c>
      <c r="I169" s="630">
        <f>IFERROR(GETPIVOTDATA(" RP Phase5 Closure",Other!$CC$7,"postingdate",VLOOKUP($B$2,myMonth,2,FALSE),"rank",15),0)</f>
        <v>0</v>
      </c>
      <c r="J169" s="631">
        <f t="shared" si="74"/>
        <v>0</v>
      </c>
      <c r="K169" s="637">
        <f>IFERROR(GETPIVOTDATA(" RP4",Other!$CP$7,"rank",15),0)</f>
        <v>1</v>
      </c>
      <c r="L169" s="650">
        <f>IFERROR(GETPIVOTDATA("Count of RP4+RAMP UP Success",Other!$CP$7,"rank",15),0)</f>
        <v>1</v>
      </c>
      <c r="M169" s="651">
        <f>IFERROR(GETPIVOTDATA("Count of Delayed",Other!$CP$7,"rank",15),0)-IFERROR(GETPIVOTDATA(" Delayed",Other!$CP$7,"rank",15),0)</f>
        <v>0</v>
      </c>
      <c r="N169" s="652">
        <f>IFERROR(GETPIVOTDATA(" Delayed",Other!$CP$7,"rank",15),0)</f>
        <v>1</v>
      </c>
      <c r="O169" s="653" t="str">
        <f t="shared" si="75"/>
        <v>NIL</v>
      </c>
      <c r="P169" s="404"/>
      <c r="Q169" s="404"/>
      <c r="R169" s="404"/>
      <c r="S169" s="404"/>
      <c r="T169" s="404"/>
      <c r="U169" s="287"/>
      <c r="V169" s="287"/>
      <c r="W169" s="287"/>
      <c r="X169" s="287"/>
      <c r="Y169" s="287"/>
      <c r="Z169" s="287"/>
      <c r="AA169" s="287"/>
      <c r="AB169" s="287"/>
    </row>
    <row r="170" spans="2:28" ht="15.75" thickBot="1">
      <c r="B170" s="723"/>
      <c r="C170" s="561" t="s">
        <v>206</v>
      </c>
      <c r="D170" s="313"/>
      <c r="E170" s="403"/>
      <c r="F170" s="632">
        <f>SUM(F155:F169)</f>
        <v>1</v>
      </c>
      <c r="G170" s="633">
        <f t="shared" ref="G170:J170" si="76">SUM(G155:G169)</f>
        <v>6</v>
      </c>
      <c r="H170" s="633">
        <f t="shared" si="76"/>
        <v>7</v>
      </c>
      <c r="I170" s="633">
        <f t="shared" si="76"/>
        <v>2</v>
      </c>
      <c r="J170" s="633">
        <f t="shared" si="76"/>
        <v>9</v>
      </c>
      <c r="K170" s="404"/>
      <c r="L170" s="288"/>
      <c r="M170" s="638"/>
      <c r="N170" s="288"/>
      <c r="O170" s="288"/>
      <c r="P170" s="288"/>
      <c r="Q170" s="288"/>
      <c r="R170" s="288"/>
      <c r="S170" s="288"/>
      <c r="T170" s="288"/>
      <c r="U170" s="287"/>
      <c r="V170" s="287"/>
      <c r="W170" s="287"/>
      <c r="X170" s="287"/>
      <c r="Y170" s="287"/>
      <c r="Z170" s="287"/>
      <c r="AA170" s="287"/>
      <c r="AB170" s="287"/>
    </row>
    <row r="171" spans="2:28">
      <c r="B171" s="606"/>
      <c r="C171" s="288"/>
      <c r="D171" s="288"/>
      <c r="E171" s="288"/>
      <c r="F171" s="288"/>
      <c r="G171" s="288"/>
      <c r="H171" s="404"/>
      <c r="I171" s="404"/>
      <c r="J171" s="404"/>
      <c r="K171" s="404"/>
      <c r="L171" s="288"/>
      <c r="M171" s="288"/>
      <c r="N171" s="288"/>
      <c r="O171" s="288"/>
      <c r="P171" s="288"/>
      <c r="Q171" s="288"/>
      <c r="R171" s="288"/>
      <c r="S171" s="288"/>
      <c r="T171" s="288"/>
      <c r="U171" s="287"/>
      <c r="V171" s="287"/>
      <c r="W171" s="287"/>
      <c r="X171" s="287"/>
      <c r="Y171" s="287"/>
      <c r="Z171" s="287"/>
      <c r="AA171" s="287"/>
      <c r="AB171" s="287"/>
    </row>
    <row r="172" spans="2:28">
      <c r="B172" s="606"/>
      <c r="C172" s="288"/>
      <c r="D172" s="288"/>
      <c r="E172" s="288"/>
      <c r="F172" s="288"/>
      <c r="G172" s="288"/>
      <c r="H172" s="404"/>
      <c r="I172" s="404"/>
      <c r="J172" s="404"/>
      <c r="K172" s="404"/>
      <c r="L172" s="288"/>
      <c r="M172" s="288"/>
      <c r="N172" s="288"/>
      <c r="O172" s="288"/>
      <c r="P172" s="288"/>
      <c r="Q172" s="288"/>
      <c r="R172" s="288"/>
      <c r="S172" s="288"/>
      <c r="T172" s="288"/>
      <c r="U172" s="287"/>
      <c r="V172" s="287"/>
      <c r="W172" s="287"/>
      <c r="X172" s="287"/>
      <c r="Y172" s="287"/>
      <c r="Z172" s="287"/>
      <c r="AA172" s="287"/>
      <c r="AB172" s="287"/>
    </row>
    <row r="173" spans="2:28">
      <c r="B173" s="288"/>
      <c r="C173" s="288"/>
      <c r="D173" s="288"/>
      <c r="E173" s="288"/>
      <c r="F173" s="288"/>
      <c r="G173" s="288"/>
      <c r="H173" s="404"/>
      <c r="I173" s="404"/>
      <c r="J173" s="404"/>
      <c r="K173" s="404"/>
      <c r="L173" s="288"/>
      <c r="M173" s="288"/>
      <c r="N173" s="288"/>
      <c r="O173" s="288"/>
      <c r="P173" s="288"/>
      <c r="Q173" s="288"/>
      <c r="R173" s="288"/>
      <c r="S173" s="288"/>
      <c r="T173" s="288"/>
      <c r="U173" s="287"/>
      <c r="V173" s="287"/>
      <c r="W173" s="287"/>
      <c r="X173" s="287"/>
      <c r="Y173" s="287"/>
      <c r="Z173" s="287"/>
      <c r="AA173" s="287"/>
      <c r="AB173" s="287"/>
    </row>
    <row r="174" spans="2:28">
      <c r="B174" s="680" t="s">
        <v>207</v>
      </c>
      <c r="C174" s="681"/>
      <c r="D174" s="288"/>
      <c r="E174" s="288"/>
      <c r="F174" s="288"/>
      <c r="G174" s="288"/>
      <c r="H174" s="404"/>
      <c r="I174" s="404"/>
      <c r="J174" s="404"/>
      <c r="K174" s="404"/>
      <c r="L174" s="288"/>
      <c r="M174" s="288"/>
      <c r="N174" s="288"/>
      <c r="O174" s="288"/>
      <c r="P174" s="288"/>
      <c r="Q174" s="288"/>
      <c r="R174" s="288"/>
      <c r="S174" s="288"/>
      <c r="T174" s="288"/>
      <c r="U174" s="287"/>
      <c r="V174" s="287"/>
      <c r="W174" s="287"/>
      <c r="X174" s="287"/>
      <c r="Y174" s="287"/>
      <c r="Z174" s="287"/>
      <c r="AA174" s="287"/>
      <c r="AB174" s="287"/>
    </row>
    <row r="175" spans="2:28" ht="15.75" thickBot="1">
      <c r="B175" s="288"/>
      <c r="C175" s="288"/>
      <c r="D175" s="288"/>
      <c r="E175" s="288"/>
      <c r="F175" s="288"/>
      <c r="G175" s="288"/>
      <c r="H175" s="404"/>
      <c r="I175" s="404"/>
      <c r="J175" s="404"/>
      <c r="K175" s="404"/>
      <c r="L175" s="288"/>
      <c r="M175" s="288"/>
      <c r="N175" s="288"/>
      <c r="O175" s="288"/>
      <c r="P175" s="288"/>
      <c r="Q175" s="288"/>
      <c r="R175" s="288"/>
      <c r="S175" s="288"/>
      <c r="T175" s="288"/>
      <c r="U175" s="287"/>
      <c r="V175" s="287"/>
      <c r="W175" s="287"/>
      <c r="X175" s="287"/>
      <c r="Y175" s="287"/>
      <c r="Z175" s="287"/>
      <c r="AA175" s="287"/>
      <c r="AB175" s="287"/>
    </row>
    <row r="176" spans="2:28" ht="16.5" thickBot="1">
      <c r="B176" s="671" t="s">
        <v>107</v>
      </c>
      <c r="C176" s="654" t="s">
        <v>208</v>
      </c>
      <c r="D176" s="672">
        <f>DATE($B$3,1,1)</f>
        <v>42005</v>
      </c>
      <c r="E176" s="672">
        <f>DATE($B$3,2,1)</f>
        <v>42036</v>
      </c>
      <c r="F176" s="672">
        <f>DATE($B$3,3,1)</f>
        <v>42064</v>
      </c>
      <c r="G176" s="672">
        <f>DATE($B$3,4,1)</f>
        <v>42095</v>
      </c>
      <c r="H176" s="672">
        <f>DATE($B$3,5,1)</f>
        <v>42125</v>
      </c>
      <c r="I176" s="672">
        <f>DATE($B$3,6,1)</f>
        <v>42156</v>
      </c>
      <c r="J176" s="672">
        <f>DATE($B$3,7,1)</f>
        <v>42186</v>
      </c>
      <c r="K176" s="672">
        <f>DATE($B$3,8,1)</f>
        <v>42217</v>
      </c>
      <c r="L176" s="672">
        <f>DATE($B$3,9,1)</f>
        <v>42248</v>
      </c>
      <c r="M176" s="672">
        <f>DATE($B$3,10,1)</f>
        <v>42278</v>
      </c>
      <c r="N176" s="672">
        <f>DATE($B$3,11,1)</f>
        <v>42309</v>
      </c>
      <c r="O176" s="697">
        <f>DATE($B$3,12,1)</f>
        <v>42339</v>
      </c>
      <c r="P176" s="288"/>
      <c r="Q176" s="288"/>
      <c r="R176" s="288"/>
      <c r="S176" s="288"/>
      <c r="T176" s="288"/>
      <c r="U176" s="288"/>
      <c r="V176" s="287"/>
      <c r="W176" s="287"/>
      <c r="X176" s="287"/>
      <c r="Y176" s="287"/>
      <c r="Z176" s="287"/>
      <c r="AA176" s="287"/>
      <c r="AB176" s="287"/>
    </row>
    <row r="177" spans="2:28" ht="15.75">
      <c r="B177" s="764" t="s">
        <v>209</v>
      </c>
      <c r="C177" s="655" t="s">
        <v>16</v>
      </c>
      <c r="D177" s="682">
        <f>IFERROR(GETPIVOTDATA("runningproject",Other!$DD$7,"SBU","Total KE","Project Type","OEM/ODM","postingdate",1),0)</f>
        <v>2</v>
      </c>
      <c r="E177" s="656">
        <f>IFERROR(GETPIVOTDATA("runningproject",Other!$DD$7,"SBU","Total KE","Project Type","OEM/ODM","postingdate",2),0)</f>
        <v>1</v>
      </c>
      <c r="F177" s="656">
        <f>IFERROR(GETPIVOTDATA("runningproject",Other!$DD$7,"SBU","Total KE","Project Type","OEM/ODM","postingdate",3),0)</f>
        <v>0</v>
      </c>
      <c r="G177" s="656">
        <f>IFERROR(GETPIVOTDATA("runningproject",Other!$DD$7,"SBU","Total KE","Project Type","OEM/ODM","postingdate",4),0)</f>
        <v>0</v>
      </c>
      <c r="H177" s="656">
        <f>IFERROR(GETPIVOTDATA("runningproject",Other!$DD$7,"SBU","Total KE","Project Type","OEM/ODM","postingdate",5),0)</f>
        <v>0</v>
      </c>
      <c r="I177" s="656">
        <f>IFERROR(GETPIVOTDATA("runningproject",Other!$DD$7,"SBU","Total KE","Project Type","OEM/ODM","postingdate",6),0)</f>
        <v>0</v>
      </c>
      <c r="J177" s="656">
        <f>IFERROR(GETPIVOTDATA("runningproject",Other!$DD$7,"SBU","Total KE","Project Type","OEM/ODM","postingdate",7),0)</f>
        <v>0</v>
      </c>
      <c r="K177" s="656">
        <f>IFERROR(GETPIVOTDATA("runningproject",Other!$DD$7,"SBU","Total KE","Project Type","OEM/ODM","postingdate",8),0)</f>
        <v>0</v>
      </c>
      <c r="L177" s="656">
        <f>IFERROR(GETPIVOTDATA("runningproject",Other!$DD$7,"SBU","Total KE","Project Type","OEM/ODM","postingdate",9),0)</f>
        <v>0</v>
      </c>
      <c r="M177" s="656">
        <f>IFERROR(GETPIVOTDATA("runningproject",Other!$DD$7,"SBU","Total KE","Project Type","OEM/ODM","postingdate",10),0)</f>
        <v>0</v>
      </c>
      <c r="N177" s="656">
        <f>IFERROR(GETPIVOTDATA("runningproject",Other!$DD$7,"SBU","Total KE","Project Type","OEM/ODM","postingdate",11),0)</f>
        <v>0</v>
      </c>
      <c r="O177" s="689">
        <f>IFERROR(GETPIVOTDATA("runningproject",Other!$DD$7,"SBU","Total KE","Project Type","OEM/ODM","postingdate",12),0)</f>
        <v>0</v>
      </c>
      <c r="P177" s="288"/>
      <c r="Q177" s="288"/>
      <c r="R177" s="288"/>
      <c r="S177" s="288"/>
      <c r="T177" s="288"/>
      <c r="U177" s="288"/>
      <c r="V177" s="287"/>
      <c r="W177" s="287"/>
      <c r="X177" s="287"/>
      <c r="Y177" s="287"/>
      <c r="Z177" s="287"/>
      <c r="AA177" s="287"/>
      <c r="AB177" s="287"/>
    </row>
    <row r="178" spans="2:28" ht="15.75">
      <c r="B178" s="759"/>
      <c r="C178" s="657" t="s">
        <v>19</v>
      </c>
      <c r="D178" s="683">
        <f>IFERROR(GETPIVOTDATA("runningproject",Other!$DD$7,"SBU","Total KE","Project Type","PPSA","postingdate",1),0)</f>
        <v>1</v>
      </c>
      <c r="E178" s="658">
        <f>IFERROR(GETPIVOTDATA("runningproject",Other!$DD$7,"SBU","Total KE","Project Type","PPSA","postingdate",2),0)</f>
        <v>0</v>
      </c>
      <c r="F178" s="658">
        <f>IFERROR(GETPIVOTDATA("runningproject",Other!$DD$7,"SBU","Total KE","Project Type","PPSA","postingdate",3),0)</f>
        <v>0</v>
      </c>
      <c r="G178" s="658">
        <f>IFERROR(GETPIVOTDATA("runningproject",Other!$DD$7,"SBU","Total KE","Project Type","PPSA","postingdate",4),0)</f>
        <v>0</v>
      </c>
      <c r="H178" s="658">
        <f>IFERROR(GETPIVOTDATA("runningproject",Other!$DD$7,"SBU","Total KE","Project Type","PPSA","postingdate",5),0)</f>
        <v>0</v>
      </c>
      <c r="I178" s="658">
        <f>IFERROR(GETPIVOTDATA("runningproject",Other!$DD$7,"SBU","Total KE","Project Type","PPSA","postingdate",6),0)</f>
        <v>0</v>
      </c>
      <c r="J178" s="658">
        <f>IFERROR(GETPIVOTDATA("runningproject",Other!$DD$7,"SBU","Total KE","Project Type","PPSA","postingdate",7),0)</f>
        <v>0</v>
      </c>
      <c r="K178" s="658">
        <f>IFERROR(GETPIVOTDATA("runningproject",Other!$DD$7,"SBU","Total KE","Project Type","PPSA","postingdate",8),0)</f>
        <v>0</v>
      </c>
      <c r="L178" s="658">
        <f>IFERROR(GETPIVOTDATA("runningproject",Other!$DD$7,"SBU","Total KE","Project Type","PPSA","postingdate",9),0)</f>
        <v>0</v>
      </c>
      <c r="M178" s="658">
        <f>IFERROR(GETPIVOTDATA("runningproject",Other!$DD$7,"SBU","Total KE","Project Type","PPSA","postingdate",10),0)</f>
        <v>0</v>
      </c>
      <c r="N178" s="658">
        <f>IFERROR(GETPIVOTDATA("runningproject",Other!$DD$7,"SBU","Total KE","Project Type","PPSA","postingdate",11),0)</f>
        <v>0</v>
      </c>
      <c r="O178" s="690">
        <f>IFERROR(GETPIVOTDATA("runningproject",Other!$DD$7,"SBU","Total KE","Project Type","PPSA","postingdate",12),0)</f>
        <v>0</v>
      </c>
      <c r="P178" s="288"/>
      <c r="Q178" s="288"/>
      <c r="R178" s="288"/>
      <c r="S178" s="288"/>
      <c r="T178" s="288"/>
      <c r="U178" s="288"/>
      <c r="V178" s="287"/>
      <c r="W178" s="287"/>
      <c r="X178" s="287"/>
      <c r="Y178" s="287"/>
      <c r="Z178" s="287"/>
      <c r="AA178" s="287"/>
      <c r="AB178" s="287"/>
    </row>
    <row r="179" spans="2:28" ht="15.75">
      <c r="B179" s="759" t="s">
        <v>210</v>
      </c>
      <c r="C179" s="659" t="s">
        <v>16</v>
      </c>
      <c r="D179" s="684">
        <f>IFERROR(GETPIVOTDATA("runningproject",Other!$DD$7,"SBU","Total HPC","Project Type","OEM/ODM","postingdate",1),0)</f>
        <v>5</v>
      </c>
      <c r="E179" s="660">
        <f>IFERROR(GETPIVOTDATA("runningproject",Other!$DD$7,"SBU","Total HPC","Project Type","OEM/ODM","postingdate",2),0)</f>
        <v>2</v>
      </c>
      <c r="F179" s="660">
        <f>IFERROR(GETPIVOTDATA("runningproject",Other!$DD$7,"SBU","Total HPC","Project Type","OEM/ODM","postingdate",3),0)</f>
        <v>0</v>
      </c>
      <c r="G179" s="660">
        <f>IFERROR(GETPIVOTDATA("runningproject",Other!$DD$7,"SBU","Total HPC","Project Type","OEM/ODM","postingdate",4),0)</f>
        <v>0</v>
      </c>
      <c r="H179" s="660">
        <f>IFERROR(GETPIVOTDATA("runningproject",Other!$DD$7,"SBU","Total HPC","Project Type","OEM/ODM","postingdate",5),0)</f>
        <v>0</v>
      </c>
      <c r="I179" s="660">
        <f>IFERROR(GETPIVOTDATA("runningproject",Other!$DD$7,"SBU","Total HPC","Project Type","OEM/ODM","postingdate",6),0)</f>
        <v>0</v>
      </c>
      <c r="J179" s="660">
        <f>IFERROR(GETPIVOTDATA("runningproject",Other!$DD$7,"SBU","Total HPC","Project Type","OEM/ODM","postingdate",7),0)</f>
        <v>0</v>
      </c>
      <c r="K179" s="660">
        <f>IFERROR(GETPIVOTDATA("runningproject",Other!$DD$7,"SBU","Total HPC","Project Type","OEM/ODM","postingdate",8),0)</f>
        <v>0</v>
      </c>
      <c r="L179" s="660">
        <f>IFERROR(GETPIVOTDATA("runningproject",Other!$DD$7,"SBU","Total HPC","Project Type","OEM/ODM","postingdate",9),0)</f>
        <v>0</v>
      </c>
      <c r="M179" s="660">
        <f>IFERROR(GETPIVOTDATA("runningproject",Other!$DD$7,"SBU","Total HPC","Project Type","OEM/ODM","postingdate",10),0)</f>
        <v>0</v>
      </c>
      <c r="N179" s="660">
        <f>IFERROR(GETPIVOTDATA("runningproject",Other!$DD$7,"SBU","Total HPC","Project Type","OEM/ODM","postingdate",11),0)</f>
        <v>0</v>
      </c>
      <c r="O179" s="691">
        <f>IFERROR(GETPIVOTDATA("runningproject",Other!$DD$7,"SBU","Total HPC","Project Type","OEM/ODM","postingdate",12),0)</f>
        <v>0</v>
      </c>
      <c r="P179" s="404"/>
      <c r="Q179" s="404"/>
      <c r="R179" s="404"/>
      <c r="S179" s="404"/>
      <c r="T179" s="404"/>
      <c r="U179" s="404"/>
      <c r="V179" s="287"/>
      <c r="W179" s="287"/>
      <c r="X179" s="287"/>
      <c r="Y179" s="287"/>
      <c r="Z179" s="287"/>
      <c r="AA179" s="287"/>
      <c r="AB179" s="287"/>
    </row>
    <row r="180" spans="2:28" ht="15.75">
      <c r="B180" s="759"/>
      <c r="C180" s="657" t="s">
        <v>19</v>
      </c>
      <c r="D180" s="683">
        <f>IFERROR(GETPIVOTDATA("runningproject",Other!$DD$7,"SBU","Total HPC","Project Type","PPSA","postingdate",1),0)</f>
        <v>1</v>
      </c>
      <c r="E180" s="658">
        <f>IFERROR(GETPIVOTDATA("runningproject",Other!$DD$7,"SBU","Total HPC","Project Type","PPSA","postingdate",2),0)</f>
        <v>0</v>
      </c>
      <c r="F180" s="658">
        <f>IFERROR(GETPIVOTDATA("runningproject",Other!$DD$7,"SBU","Total HPC","Project Type","PPSA","postingdate",3),0)</f>
        <v>0</v>
      </c>
      <c r="G180" s="658">
        <f>IFERROR(GETPIVOTDATA("runningproject",Other!$DD$7,"SBU","Total HPC","Project Type","PPSA","postingdate",4),0)</f>
        <v>0</v>
      </c>
      <c r="H180" s="658">
        <f>IFERROR(GETPIVOTDATA("runningproject",Other!$DD$7,"SBU","Total HPC","Project Type","PPSA","postingdate",5),0)</f>
        <v>0</v>
      </c>
      <c r="I180" s="658">
        <f>IFERROR(GETPIVOTDATA("runningproject",Other!$DD$7,"SBU","Total HPC","Project Type","PPSA","postingdate",6),0)</f>
        <v>0</v>
      </c>
      <c r="J180" s="658">
        <f>IFERROR(GETPIVOTDATA("runningproject",Other!$DD$7,"SBU","Total HPC","Project Type","PPSA","postingdate",7),0)</f>
        <v>0</v>
      </c>
      <c r="K180" s="658">
        <f>IFERROR(GETPIVOTDATA("runningproject",Other!$DD$7,"SBU","Total HPC","Project Type","PPSA","postingdate",8),0)</f>
        <v>0</v>
      </c>
      <c r="L180" s="658">
        <f>IFERROR(GETPIVOTDATA("runningproject",Other!$DD$7,"SBU","Total HPC","Project Type","PPSA","postingdate",9),0)</f>
        <v>0</v>
      </c>
      <c r="M180" s="658">
        <f>IFERROR(GETPIVOTDATA("runningproject",Other!$DD$7,"SBU","Total HPC","Project Type","PPSA","postingdate",10),0)</f>
        <v>0</v>
      </c>
      <c r="N180" s="658">
        <f>IFERROR(GETPIVOTDATA("runningproject",Other!$DD$7,"SBU","Total HPC","Project Type","PPSA","postingdate",11),0)</f>
        <v>0</v>
      </c>
      <c r="O180" s="690">
        <f>IFERROR(GETPIVOTDATA("runningproject",Other!$DD$7,"SBU","Total HPC3","Project Type","PPSA","postingdate",12),0)</f>
        <v>0</v>
      </c>
      <c r="P180" s="404"/>
      <c r="Q180" s="404"/>
      <c r="R180" s="404"/>
      <c r="S180" s="404"/>
      <c r="T180" s="404"/>
      <c r="U180" s="404"/>
      <c r="V180" s="287"/>
      <c r="W180" s="287"/>
      <c r="X180" s="287"/>
      <c r="Y180" s="287"/>
      <c r="Z180" s="287"/>
      <c r="AA180" s="287"/>
      <c r="AB180" s="287"/>
    </row>
    <row r="181" spans="2:28" ht="15.75">
      <c r="B181" s="706" t="s">
        <v>211</v>
      </c>
      <c r="C181" s="661" t="s">
        <v>16</v>
      </c>
      <c r="D181" s="685">
        <f>IFERROR(GETPIVOTDATA("runningproject",Other!$DD$7,"SBU","Total CW","Project Type","OEM/ODM","postingdate",1),0)</f>
        <v>0</v>
      </c>
      <c r="E181" s="662">
        <f>IFERROR(GETPIVOTDATA("runningproject",Other!$DD$7,"SBU","Total CW","Project Type","OEM/ODM","postingdate",2),0)</f>
        <v>3</v>
      </c>
      <c r="F181" s="662">
        <f>IFERROR(GETPIVOTDATA("runningproject",Other!$DD$7,"SBU","Total CW","Project Type","OEM/ODM","postingdate",3),0)</f>
        <v>0</v>
      </c>
      <c r="G181" s="662">
        <f>IFERROR(GETPIVOTDATA("runningproject",Other!$DD$7,"SBU","Total CW","Project Type","OEM/ODM","postingdate",4),0)</f>
        <v>0</v>
      </c>
      <c r="H181" s="662">
        <f>IFERROR(GETPIVOTDATA("runningproject",Other!$DD$7,"SBU","Total CW","Project Type","OEM/ODM","postingdate",5),0)</f>
        <v>0</v>
      </c>
      <c r="I181" s="662">
        <f>IFERROR(GETPIVOTDATA("runningproject",Other!$DD$7,"SBU","Total CW","Project Type","OEM/ODM","postingdate",6),0)</f>
        <v>0</v>
      </c>
      <c r="J181" s="662">
        <f>IFERROR(GETPIVOTDATA("runningproject",Other!$DD$7,"SBU","Total CW","Project Type","OEM/ODM","postingdate",7),0)</f>
        <v>0</v>
      </c>
      <c r="K181" s="662">
        <f>IFERROR(GETPIVOTDATA("runningproject",Other!$DD$7,"SBU","Total CW","Project Type","OEM/ODM","postingdate",8),0)</f>
        <v>0</v>
      </c>
      <c r="L181" s="662">
        <f>IFERROR(GETPIVOTDATA("runningproject",Other!$DD$7,"SBU","Total CW","Project Type","OEM/ODM","postingdate",9),0)</f>
        <v>0</v>
      </c>
      <c r="M181" s="662">
        <f>IFERROR(GETPIVOTDATA("runningproject",Other!$DD$7,"SBU","Total CW","Project Type","OEM/ODM","postingdate",10),0)</f>
        <v>0</v>
      </c>
      <c r="N181" s="662">
        <f>IFERROR(GETPIVOTDATA("runningproject",Other!$DD$7,"SBU","Total CW","Project Type","OEM/ODM","postingdate",11),0)</f>
        <v>0</v>
      </c>
      <c r="O181" s="692">
        <f>IFERROR(GETPIVOTDATA("runningproject",Other!$DD$7,"SBU","Total CW","Project Type","OEM/ODM","postingdate",12),0)</f>
        <v>0</v>
      </c>
      <c r="P181" s="404"/>
      <c r="Q181" s="404"/>
      <c r="R181" s="404"/>
      <c r="S181" s="404"/>
      <c r="T181" s="404"/>
      <c r="U181" s="404"/>
      <c r="V181" s="287"/>
      <c r="W181" s="287"/>
      <c r="X181" s="287"/>
      <c r="Y181" s="287"/>
      <c r="Z181" s="287"/>
      <c r="AA181" s="287"/>
      <c r="AB181" s="287"/>
    </row>
    <row r="182" spans="2:28" ht="16.5" thickBot="1">
      <c r="B182" s="705" t="s">
        <v>25</v>
      </c>
      <c r="C182" s="663" t="s">
        <v>16</v>
      </c>
      <c r="D182" s="686">
        <f>IFERROR(GETPIVOTDATA("runningproject",Other!$DD$7,"SBU","Total SA","Project Type","PPSA","postingdate",1),0)</f>
        <v>0</v>
      </c>
      <c r="E182" s="664">
        <f>IFERROR(GETPIVOTDATA("runningproject",Other!$DD$7,"SBU","Total SA","Project Type","PPSA","postingdate",2),0)</f>
        <v>0</v>
      </c>
      <c r="F182" s="664">
        <f>IFERROR(GETPIVOTDATA("runningproject",Other!$DD$7,"SBU","Total SA","Project Type","PPSA","postingdate",3),0)</f>
        <v>0</v>
      </c>
      <c r="G182" s="664">
        <f>IFERROR(GETPIVOTDATA("runningproject",Other!$DD$7,"SBU","Total SA","Project Type","PPSA","postingdate",4),0)</f>
        <v>0</v>
      </c>
      <c r="H182" s="664">
        <f>IFERROR(GETPIVOTDATA("runningproject",Other!$DD$7,"SBU","Total SA","Project Type","PPSA","postingdate",5),0)</f>
        <v>0</v>
      </c>
      <c r="I182" s="664">
        <f>IFERROR(GETPIVOTDATA("runningproject",Other!$DD$7,"SBU","Total SA","Project Type","PPSA","postingdate",6),0)</f>
        <v>0</v>
      </c>
      <c r="J182" s="664">
        <f>IFERROR(GETPIVOTDATA("runningproject",Other!$DD$7,"SBU","Total SA","Project Type","PPSA","postingdate",7),0)</f>
        <v>0</v>
      </c>
      <c r="K182" s="664">
        <f>IFERROR(GETPIVOTDATA("runningproject",Other!$DD$7,"SBU","Total SA","Project Type","PPSA","postingdate",8),0)</f>
        <v>0</v>
      </c>
      <c r="L182" s="664">
        <f>IFERROR(GETPIVOTDATA("runningproject",Other!$DD$7,"SBU","Total SA","Project Type","PPSA","postingdate",9),0)</f>
        <v>0</v>
      </c>
      <c r="M182" s="664">
        <f>IFERROR(GETPIVOTDATA("runningproject",Other!$DD$7,"SBU","Total SA","Project Type","PPSA","postingdate",10),0)</f>
        <v>0</v>
      </c>
      <c r="N182" s="664">
        <f>IFERROR(GETPIVOTDATA("runningproject",Other!$DD$7,"SBU","Total SA","Project Type","PPSA","postingdate",11),0)</f>
        <v>0</v>
      </c>
      <c r="O182" s="693">
        <f>IFERROR(GETPIVOTDATA("runningproject",Other!$DD$7,"SBU","SA","Project Type","PPSA","postingdate",12),0)</f>
        <v>0</v>
      </c>
      <c r="P182" s="404"/>
      <c r="Q182" s="404"/>
      <c r="R182" s="404"/>
      <c r="S182" s="404"/>
      <c r="T182" s="404"/>
      <c r="U182" s="404"/>
      <c r="V182" s="287"/>
      <c r="W182" s="287"/>
      <c r="X182" s="287"/>
      <c r="Y182" s="287"/>
      <c r="Z182" s="287"/>
      <c r="AA182" s="287"/>
      <c r="AB182" s="287"/>
    </row>
    <row r="183" spans="2:28">
      <c r="B183" s="760" t="s">
        <v>212</v>
      </c>
      <c r="C183" s="665" t="s">
        <v>16</v>
      </c>
      <c r="D183" s="687">
        <f>SUM(D177,D179,D181:D182)</f>
        <v>7</v>
      </c>
      <c r="E183" s="666">
        <f t="shared" ref="E183:O183" si="77">SUM(E177,E179,E181:E182)</f>
        <v>6</v>
      </c>
      <c r="F183" s="666">
        <f t="shared" si="77"/>
        <v>0</v>
      </c>
      <c r="G183" s="666">
        <f t="shared" si="77"/>
        <v>0</v>
      </c>
      <c r="H183" s="666">
        <f t="shared" si="77"/>
        <v>0</v>
      </c>
      <c r="I183" s="666">
        <f t="shared" si="77"/>
        <v>0</v>
      </c>
      <c r="J183" s="666">
        <f t="shared" si="77"/>
        <v>0</v>
      </c>
      <c r="K183" s="666">
        <f t="shared" si="77"/>
        <v>0</v>
      </c>
      <c r="L183" s="666">
        <f t="shared" si="77"/>
        <v>0</v>
      </c>
      <c r="M183" s="666">
        <f t="shared" si="77"/>
        <v>0</v>
      </c>
      <c r="N183" s="666">
        <f t="shared" si="77"/>
        <v>0</v>
      </c>
      <c r="O183" s="694">
        <f t="shared" si="77"/>
        <v>0</v>
      </c>
      <c r="P183" s="404"/>
      <c r="Q183" s="404"/>
      <c r="R183" s="404"/>
      <c r="S183" s="404"/>
      <c r="T183" s="404"/>
      <c r="U183" s="404"/>
      <c r="V183" s="287"/>
      <c r="W183" s="287"/>
      <c r="X183" s="287"/>
      <c r="Y183" s="287"/>
      <c r="Z183" s="287"/>
      <c r="AA183" s="287"/>
      <c r="AB183" s="287"/>
    </row>
    <row r="184" spans="2:28" ht="15.75" thickBot="1">
      <c r="B184" s="761"/>
      <c r="C184" s="667" t="s">
        <v>19</v>
      </c>
      <c r="D184" s="688">
        <f>SUM(D178,D180)</f>
        <v>2</v>
      </c>
      <c r="E184" s="668">
        <f t="shared" ref="E184:O184" si="78">SUM(E178,E180)</f>
        <v>0</v>
      </c>
      <c r="F184" s="668">
        <f t="shared" si="78"/>
        <v>0</v>
      </c>
      <c r="G184" s="668">
        <f t="shared" si="78"/>
        <v>0</v>
      </c>
      <c r="H184" s="668">
        <f t="shared" si="78"/>
        <v>0</v>
      </c>
      <c r="I184" s="668">
        <f t="shared" si="78"/>
        <v>0</v>
      </c>
      <c r="J184" s="668">
        <f t="shared" si="78"/>
        <v>0</v>
      </c>
      <c r="K184" s="668">
        <f t="shared" si="78"/>
        <v>0</v>
      </c>
      <c r="L184" s="668">
        <f t="shared" si="78"/>
        <v>0</v>
      </c>
      <c r="M184" s="668">
        <f t="shared" si="78"/>
        <v>0</v>
      </c>
      <c r="N184" s="668">
        <f t="shared" si="78"/>
        <v>0</v>
      </c>
      <c r="O184" s="695">
        <f t="shared" si="78"/>
        <v>0</v>
      </c>
      <c r="P184" s="404"/>
      <c r="Q184" s="404"/>
      <c r="R184" s="404"/>
      <c r="S184" s="404"/>
      <c r="T184" s="404"/>
      <c r="U184" s="404"/>
      <c r="V184" s="287"/>
      <c r="W184" s="287"/>
      <c r="X184" s="287"/>
      <c r="Y184" s="287"/>
      <c r="Z184" s="287"/>
      <c r="AA184" s="287"/>
      <c r="AB184" s="287"/>
    </row>
    <row r="185" spans="2:28" ht="16.5" thickBot="1">
      <c r="B185" s="673" t="s">
        <v>75</v>
      </c>
      <c r="C185" s="674"/>
      <c r="D185" s="675">
        <f>SUM(D183:D184)</f>
        <v>9</v>
      </c>
      <c r="E185" s="675">
        <f t="shared" ref="E185:O185" si="79">SUM(E183:E184)</f>
        <v>6</v>
      </c>
      <c r="F185" s="675">
        <f t="shared" si="79"/>
        <v>0</v>
      </c>
      <c r="G185" s="675">
        <f t="shared" si="79"/>
        <v>0</v>
      </c>
      <c r="H185" s="675">
        <f t="shared" si="79"/>
        <v>0</v>
      </c>
      <c r="I185" s="675">
        <f t="shared" si="79"/>
        <v>0</v>
      </c>
      <c r="J185" s="675">
        <f t="shared" si="79"/>
        <v>0</v>
      </c>
      <c r="K185" s="675">
        <f t="shared" si="79"/>
        <v>0</v>
      </c>
      <c r="L185" s="675">
        <f t="shared" si="79"/>
        <v>0</v>
      </c>
      <c r="M185" s="675">
        <f t="shared" si="79"/>
        <v>0</v>
      </c>
      <c r="N185" s="675">
        <f t="shared" si="79"/>
        <v>0</v>
      </c>
      <c r="O185" s="696">
        <f t="shared" si="79"/>
        <v>0</v>
      </c>
      <c r="P185" s="404"/>
      <c r="Q185" s="404"/>
      <c r="R185" s="404"/>
      <c r="S185" s="404"/>
      <c r="T185" s="404"/>
      <c r="U185" s="404"/>
      <c r="V185" s="287"/>
      <c r="W185" s="287"/>
      <c r="X185" s="287"/>
      <c r="Y185" s="287"/>
      <c r="Z185" s="287"/>
      <c r="AA185" s="287"/>
      <c r="AB185" s="287"/>
    </row>
    <row r="186" spans="2:28" ht="15.75">
      <c r="B186" s="669"/>
      <c r="C186" s="669"/>
      <c r="D186" s="669"/>
      <c r="E186" s="669"/>
      <c r="F186" s="669"/>
      <c r="G186" s="669"/>
      <c r="H186" s="669"/>
      <c r="I186" s="669"/>
      <c r="J186" s="669"/>
      <c r="K186" s="669"/>
      <c r="L186" s="669"/>
      <c r="M186" s="669"/>
      <c r="N186" s="669"/>
      <c r="O186" s="669"/>
      <c r="P186" s="404"/>
      <c r="Q186" s="404"/>
      <c r="R186" s="404"/>
      <c r="S186" s="404"/>
      <c r="T186" s="404"/>
      <c r="U186" s="404"/>
      <c r="V186" s="287"/>
      <c r="W186" s="287"/>
      <c r="X186" s="287"/>
      <c r="Y186" s="287"/>
      <c r="Z186" s="287"/>
      <c r="AA186" s="287"/>
      <c r="AB186" s="287"/>
    </row>
    <row r="187" spans="2:28" ht="15.75">
      <c r="B187" s="669"/>
      <c r="C187" s="669"/>
      <c r="D187" s="669"/>
      <c r="E187" s="669"/>
      <c r="F187" s="669"/>
      <c r="G187" s="669"/>
      <c r="H187" s="669"/>
      <c r="I187" s="669"/>
      <c r="J187" s="669"/>
      <c r="K187" s="669"/>
      <c r="L187" s="669"/>
      <c r="M187" s="669"/>
      <c r="N187" s="669"/>
      <c r="O187" s="669"/>
      <c r="P187" s="404"/>
      <c r="Q187" s="404"/>
      <c r="R187" s="404"/>
      <c r="S187" s="404"/>
      <c r="T187" s="404"/>
      <c r="U187" s="404"/>
      <c r="V187" s="287"/>
      <c r="W187" s="287"/>
      <c r="X187" s="287"/>
      <c r="Y187" s="287"/>
      <c r="Z187" s="287"/>
      <c r="AA187" s="287"/>
      <c r="AB187" s="287"/>
    </row>
    <row r="188" spans="2:28" ht="15.75">
      <c r="B188" s="676" t="s">
        <v>209</v>
      </c>
      <c r="C188" s="676"/>
      <c r="D188" s="676">
        <f>SUM(D177:D178)</f>
        <v>3</v>
      </c>
      <c r="E188" s="676">
        <f t="shared" ref="E188:O188" si="80">SUM(E177:E178)</f>
        <v>1</v>
      </c>
      <c r="F188" s="676">
        <f t="shared" si="80"/>
        <v>0</v>
      </c>
      <c r="G188" s="676">
        <f t="shared" si="80"/>
        <v>0</v>
      </c>
      <c r="H188" s="676">
        <f t="shared" si="80"/>
        <v>0</v>
      </c>
      <c r="I188" s="676">
        <f t="shared" si="80"/>
        <v>0</v>
      </c>
      <c r="J188" s="676">
        <f t="shared" si="80"/>
        <v>0</v>
      </c>
      <c r="K188" s="676">
        <f t="shared" si="80"/>
        <v>0</v>
      </c>
      <c r="L188" s="676">
        <f t="shared" si="80"/>
        <v>0</v>
      </c>
      <c r="M188" s="676">
        <f t="shared" si="80"/>
        <v>0</v>
      </c>
      <c r="N188" s="676">
        <f t="shared" si="80"/>
        <v>0</v>
      </c>
      <c r="O188" s="676">
        <f t="shared" si="80"/>
        <v>0</v>
      </c>
      <c r="P188" s="288"/>
      <c r="Q188" s="288"/>
      <c r="R188" s="288"/>
      <c r="S188" s="404"/>
      <c r="T188" s="404"/>
      <c r="U188" s="404"/>
      <c r="V188" s="287"/>
      <c r="W188" s="287"/>
      <c r="X188" s="287"/>
      <c r="Y188" s="287"/>
      <c r="Z188" s="287"/>
      <c r="AA188" s="287"/>
      <c r="AB188" s="287"/>
    </row>
    <row r="189" spans="2:28" ht="15.75">
      <c r="B189" s="677" t="s">
        <v>210</v>
      </c>
      <c r="C189" s="677"/>
      <c r="D189" s="677">
        <f>SUM(D179:D180)</f>
        <v>6</v>
      </c>
      <c r="E189" s="677">
        <f t="shared" ref="E189:O189" si="81">SUM(E179:E180)</f>
        <v>2</v>
      </c>
      <c r="F189" s="677">
        <f t="shared" si="81"/>
        <v>0</v>
      </c>
      <c r="G189" s="677">
        <f t="shared" si="81"/>
        <v>0</v>
      </c>
      <c r="H189" s="677">
        <f t="shared" si="81"/>
        <v>0</v>
      </c>
      <c r="I189" s="677">
        <f t="shared" si="81"/>
        <v>0</v>
      </c>
      <c r="J189" s="677">
        <f t="shared" si="81"/>
        <v>0</v>
      </c>
      <c r="K189" s="677">
        <f t="shared" si="81"/>
        <v>0</v>
      </c>
      <c r="L189" s="677">
        <f t="shared" si="81"/>
        <v>0</v>
      </c>
      <c r="M189" s="677">
        <f t="shared" si="81"/>
        <v>0</v>
      </c>
      <c r="N189" s="677">
        <f t="shared" si="81"/>
        <v>0</v>
      </c>
      <c r="O189" s="677">
        <f t="shared" si="81"/>
        <v>0</v>
      </c>
      <c r="P189" s="288"/>
      <c r="Q189" s="288"/>
      <c r="R189" s="288"/>
      <c r="S189" s="404"/>
      <c r="T189" s="404"/>
      <c r="U189" s="404"/>
      <c r="V189" s="287"/>
      <c r="W189" s="287"/>
      <c r="X189" s="287"/>
      <c r="Y189" s="287"/>
      <c r="Z189" s="287"/>
      <c r="AA189" s="287"/>
      <c r="AB189" s="287"/>
    </row>
    <row r="190" spans="2:28" ht="15.75">
      <c r="B190" s="678" t="s">
        <v>213</v>
      </c>
      <c r="C190" s="678"/>
      <c r="D190" s="678">
        <f>SUM(D188:D189)</f>
        <v>9</v>
      </c>
      <c r="E190" s="678">
        <f t="shared" ref="E190:O190" si="82">SUM(E188:E189)</f>
        <v>3</v>
      </c>
      <c r="F190" s="678">
        <f t="shared" si="82"/>
        <v>0</v>
      </c>
      <c r="G190" s="678">
        <f t="shared" si="82"/>
        <v>0</v>
      </c>
      <c r="H190" s="678">
        <f t="shared" si="82"/>
        <v>0</v>
      </c>
      <c r="I190" s="678">
        <f t="shared" si="82"/>
        <v>0</v>
      </c>
      <c r="J190" s="678">
        <f t="shared" si="82"/>
        <v>0</v>
      </c>
      <c r="K190" s="678">
        <f t="shared" si="82"/>
        <v>0</v>
      </c>
      <c r="L190" s="678">
        <f t="shared" si="82"/>
        <v>0</v>
      </c>
      <c r="M190" s="678">
        <f t="shared" si="82"/>
        <v>0</v>
      </c>
      <c r="N190" s="678">
        <f t="shared" si="82"/>
        <v>0</v>
      </c>
      <c r="O190" s="678">
        <f t="shared" si="82"/>
        <v>0</v>
      </c>
      <c r="P190" s="288"/>
      <c r="Q190" s="288"/>
      <c r="R190" s="288"/>
      <c r="S190" s="404"/>
      <c r="T190" s="404"/>
      <c r="U190" s="404"/>
      <c r="V190" s="287"/>
      <c r="W190" s="287"/>
      <c r="X190" s="287"/>
      <c r="Y190" s="287"/>
      <c r="Z190" s="287"/>
      <c r="AA190" s="287"/>
      <c r="AB190" s="287"/>
    </row>
    <row r="191" spans="2:28" ht="15.75">
      <c r="B191" s="679" t="s">
        <v>214</v>
      </c>
      <c r="C191" s="679"/>
      <c r="D191" s="679">
        <f>SUM(D177:D181)</f>
        <v>9</v>
      </c>
      <c r="E191" s="679">
        <f t="shared" ref="E191:O191" si="83">SUM(E177:E181)</f>
        <v>6</v>
      </c>
      <c r="F191" s="679">
        <f t="shared" si="83"/>
        <v>0</v>
      </c>
      <c r="G191" s="679">
        <f t="shared" si="83"/>
        <v>0</v>
      </c>
      <c r="H191" s="679">
        <f t="shared" si="83"/>
        <v>0</v>
      </c>
      <c r="I191" s="679">
        <f t="shared" si="83"/>
        <v>0</v>
      </c>
      <c r="J191" s="679">
        <f t="shared" si="83"/>
        <v>0</v>
      </c>
      <c r="K191" s="679">
        <f t="shared" si="83"/>
        <v>0</v>
      </c>
      <c r="L191" s="679">
        <f t="shared" si="83"/>
        <v>0</v>
      </c>
      <c r="M191" s="679">
        <f t="shared" si="83"/>
        <v>0</v>
      </c>
      <c r="N191" s="679">
        <f t="shared" si="83"/>
        <v>0</v>
      </c>
      <c r="O191" s="679">
        <f t="shared" si="83"/>
        <v>0</v>
      </c>
      <c r="P191" s="288"/>
      <c r="Q191" s="288"/>
      <c r="R191" s="288"/>
      <c r="S191" s="404"/>
      <c r="T191" s="404"/>
      <c r="U191" s="404"/>
      <c r="V191" s="287"/>
      <c r="W191" s="287"/>
      <c r="X191" s="287"/>
      <c r="Y191" s="287"/>
      <c r="Z191" s="287"/>
      <c r="AA191" s="287"/>
      <c r="AB191" s="287"/>
    </row>
    <row r="192" spans="2:28" ht="15.75">
      <c r="B192" s="670" t="s">
        <v>215</v>
      </c>
      <c r="C192" s="670"/>
      <c r="D192" s="670">
        <f>D185</f>
        <v>9</v>
      </c>
      <c r="E192" s="670">
        <f t="shared" ref="E192:O192" si="84">E185</f>
        <v>6</v>
      </c>
      <c r="F192" s="670">
        <f t="shared" si="84"/>
        <v>0</v>
      </c>
      <c r="G192" s="670">
        <f t="shared" si="84"/>
        <v>0</v>
      </c>
      <c r="H192" s="670">
        <f t="shared" si="84"/>
        <v>0</v>
      </c>
      <c r="I192" s="670">
        <f t="shared" si="84"/>
        <v>0</v>
      </c>
      <c r="J192" s="670">
        <f t="shared" si="84"/>
        <v>0</v>
      </c>
      <c r="K192" s="670">
        <f t="shared" si="84"/>
        <v>0</v>
      </c>
      <c r="L192" s="670">
        <f t="shared" si="84"/>
        <v>0</v>
      </c>
      <c r="M192" s="670">
        <f t="shared" si="84"/>
        <v>0</v>
      </c>
      <c r="N192" s="670">
        <f t="shared" si="84"/>
        <v>0</v>
      </c>
      <c r="O192" s="670">
        <f t="shared" si="84"/>
        <v>0</v>
      </c>
      <c r="P192" s="288"/>
      <c r="Q192" s="288"/>
      <c r="R192" s="288"/>
      <c r="S192" s="404"/>
      <c r="T192" s="404"/>
      <c r="U192" s="404"/>
      <c r="V192" s="287"/>
      <c r="W192" s="287"/>
      <c r="X192" s="287"/>
      <c r="Y192" s="287"/>
      <c r="Z192" s="287"/>
      <c r="AA192" s="287"/>
      <c r="AB192" s="287"/>
    </row>
    <row r="193" spans="2:28">
      <c r="B193" s="288"/>
      <c r="C193" s="288"/>
      <c r="D193" s="288"/>
      <c r="E193" s="288"/>
      <c r="F193" s="288"/>
      <c r="G193" s="288"/>
      <c r="H193" s="288"/>
      <c r="I193" s="404"/>
      <c r="J193" s="288"/>
      <c r="K193" s="288"/>
      <c r="L193" s="288"/>
      <c r="M193" s="288"/>
      <c r="N193" s="288"/>
      <c r="O193" s="288"/>
      <c r="P193" s="288"/>
      <c r="Q193" s="288"/>
      <c r="R193" s="288"/>
      <c r="S193" s="404"/>
      <c r="T193" s="404"/>
      <c r="U193" s="404"/>
      <c r="V193" s="287"/>
      <c r="W193" s="287"/>
      <c r="X193" s="287"/>
      <c r="Y193" s="287"/>
      <c r="Z193" s="287"/>
      <c r="AA193" s="287"/>
      <c r="AB193" s="287"/>
    </row>
    <row r="194" spans="2:28">
      <c r="B194" s="288"/>
      <c r="C194" s="288"/>
      <c r="D194" s="288"/>
      <c r="E194" s="288"/>
      <c r="F194" s="288"/>
      <c r="G194" s="288"/>
      <c r="H194" s="288"/>
      <c r="I194" s="404"/>
      <c r="J194" s="288"/>
      <c r="K194" s="288"/>
      <c r="L194" s="288"/>
      <c r="M194" s="288"/>
      <c r="N194" s="288"/>
      <c r="O194" s="288"/>
      <c r="P194" s="288"/>
      <c r="Q194" s="288"/>
      <c r="R194" s="288"/>
      <c r="S194" s="404"/>
      <c r="T194" s="404"/>
      <c r="U194" s="404"/>
      <c r="V194" s="287"/>
      <c r="W194" s="287"/>
      <c r="X194" s="287"/>
      <c r="Y194" s="287"/>
      <c r="Z194" s="287"/>
      <c r="AA194" s="287"/>
      <c r="AB194" s="287"/>
    </row>
    <row r="195" spans="2:28">
      <c r="B195" s="288"/>
      <c r="C195" s="288"/>
      <c r="D195" s="288"/>
      <c r="E195" s="288"/>
      <c r="F195" s="288"/>
      <c r="G195" s="288"/>
      <c r="H195" s="288"/>
      <c r="I195" s="404"/>
      <c r="J195" s="288"/>
      <c r="K195" s="288"/>
      <c r="L195" s="288"/>
      <c r="M195" s="288"/>
      <c r="N195" s="288"/>
      <c r="O195" s="288"/>
      <c r="P195" s="288"/>
      <c r="Q195" s="288"/>
      <c r="R195" s="288"/>
      <c r="S195" s="404"/>
      <c r="T195" s="404"/>
      <c r="U195" s="404"/>
      <c r="V195" s="287"/>
      <c r="W195" s="287"/>
      <c r="X195" s="287"/>
      <c r="Y195" s="287"/>
      <c r="Z195" s="287"/>
      <c r="AA195" s="287"/>
      <c r="AB195" s="287"/>
    </row>
  </sheetData>
  <mergeCells count="83">
    <mergeCell ref="D1:W1"/>
    <mergeCell ref="T2:T3"/>
    <mergeCell ref="U2:U3"/>
    <mergeCell ref="V2:V3"/>
    <mergeCell ref="W2:W3"/>
    <mergeCell ref="Q2:Q3"/>
    <mergeCell ref="R2:R3"/>
    <mergeCell ref="S2:S3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4:AD39"/>
  <sheetViews>
    <sheetView zoomScale="80" zoomScaleNormal="80" workbookViewId="0">
      <selection activeCell="B14" sqref="B14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5" width="15.85546875" bestFit="1" customWidth="1"/>
    <col min="6" max="6" width="11.7109375" customWidth="1"/>
    <col min="7" max="7" width="8.28515625" customWidth="1"/>
    <col min="8" max="8" width="8.28515625" bestFit="1" customWidth="1"/>
    <col min="9" max="9" width="11.7109375" customWidth="1"/>
    <col min="10" max="10" width="13" customWidth="1"/>
    <col min="11" max="11" width="13" bestFit="1" customWidth="1"/>
    <col min="12" max="12" width="16.5703125" customWidth="1"/>
    <col min="13" max="14" width="13.42578125" bestFit="1" customWidth="1"/>
    <col min="15" max="15" width="17" customWidth="1"/>
    <col min="16" max="16" width="15.42578125" customWidth="1"/>
    <col min="17" max="17" width="15.42578125" bestFit="1" customWidth="1"/>
    <col min="18" max="18" width="18.85546875" customWidth="1"/>
    <col min="19" max="19" width="6.140625" customWidth="1"/>
    <col min="20" max="20" width="6.140625" bestFit="1" customWidth="1"/>
    <col min="21" max="21" width="9.5703125" customWidth="1"/>
    <col min="22" max="23" width="14.28515625" bestFit="1" customWidth="1"/>
    <col min="24" max="24" width="17.85546875" bestFit="1" customWidth="1"/>
    <col min="25" max="26" width="11" bestFit="1" customWidth="1"/>
    <col min="27" max="27" width="14.42578125" customWidth="1"/>
    <col min="28" max="28" width="9.140625" bestFit="1" customWidth="1"/>
    <col min="29" max="29" width="12.42578125" bestFit="1" customWidth="1"/>
    <col min="30" max="30" width="11.5703125" bestFit="1" customWidth="1"/>
  </cols>
  <sheetData>
    <row r="4" spans="1:30">
      <c r="A4" s="710" t="s">
        <v>1</v>
      </c>
      <c r="B4" s="709" t="s">
        <v>15</v>
      </c>
    </row>
    <row r="5" spans="1:30">
      <c r="A5" s="710" t="s">
        <v>89</v>
      </c>
      <c r="B5" s="709" t="s">
        <v>90</v>
      </c>
    </row>
    <row r="7" spans="1:30">
      <c r="A7" s="710" t="s">
        <v>109</v>
      </c>
      <c r="D7" s="710" t="s">
        <v>106</v>
      </c>
      <c r="E7" s="710" t="s">
        <v>3</v>
      </c>
    </row>
    <row r="8" spans="1:30">
      <c r="D8" s="709" t="s">
        <v>21</v>
      </c>
      <c r="F8" s="709" t="s">
        <v>95</v>
      </c>
      <c r="G8" s="709" t="s">
        <v>18</v>
      </c>
      <c r="I8" s="709" t="s">
        <v>96</v>
      </c>
      <c r="J8" s="709" t="s">
        <v>20</v>
      </c>
      <c r="L8" s="709" t="s">
        <v>97</v>
      </c>
      <c r="M8" s="709" t="s">
        <v>17</v>
      </c>
      <c r="O8" s="709" t="s">
        <v>98</v>
      </c>
      <c r="P8" s="709" t="s">
        <v>24</v>
      </c>
      <c r="R8" s="709" t="s">
        <v>99</v>
      </c>
      <c r="S8" s="709" t="s">
        <v>5</v>
      </c>
      <c r="U8" s="709" t="s">
        <v>100</v>
      </c>
      <c r="V8" s="709" t="s">
        <v>9</v>
      </c>
      <c r="X8" s="709" t="s">
        <v>101</v>
      </c>
      <c r="Y8" s="709" t="s">
        <v>8</v>
      </c>
      <c r="AA8" s="709" t="s">
        <v>102</v>
      </c>
      <c r="AB8" s="709" t="s">
        <v>244</v>
      </c>
      <c r="AC8" s="709" t="s">
        <v>245</v>
      </c>
      <c r="AD8" s="709" t="s">
        <v>88</v>
      </c>
    </row>
    <row r="9" spans="1:30">
      <c r="A9" s="710" t="s">
        <v>105</v>
      </c>
      <c r="B9" s="710" t="s">
        <v>108</v>
      </c>
      <c r="C9" s="710" t="s">
        <v>107</v>
      </c>
      <c r="D9" s="718" t="s">
        <v>91</v>
      </c>
      <c r="E9" s="718" t="s">
        <v>92</v>
      </c>
      <c r="G9" s="718" t="s">
        <v>91</v>
      </c>
      <c r="H9" s="718" t="s">
        <v>92</v>
      </c>
      <c r="J9" s="718" t="s">
        <v>91</v>
      </c>
      <c r="K9" s="718" t="s">
        <v>92</v>
      </c>
      <c r="M9" s="718" t="s">
        <v>91</v>
      </c>
      <c r="N9" s="718" t="s">
        <v>92</v>
      </c>
      <c r="P9" s="718" t="s">
        <v>91</v>
      </c>
      <c r="Q9" s="718" t="s">
        <v>92</v>
      </c>
      <c r="S9" s="718" t="s">
        <v>91</v>
      </c>
      <c r="T9" s="718" t="s">
        <v>92</v>
      </c>
      <c r="V9" s="718" t="s">
        <v>91</v>
      </c>
      <c r="W9" s="718" t="s">
        <v>92</v>
      </c>
      <c r="Y9" s="718" t="s">
        <v>91</v>
      </c>
      <c r="Z9" s="718" t="s">
        <v>92</v>
      </c>
      <c r="AB9" s="718" t="s">
        <v>91</v>
      </c>
    </row>
    <row r="10" spans="1:30">
      <c r="A10" s="709">
        <v>1</v>
      </c>
      <c r="B10" s="709" t="s">
        <v>16</v>
      </c>
      <c r="C10" s="709" t="s">
        <v>39</v>
      </c>
      <c r="D10" s="711"/>
      <c r="E10" s="711">
        <v>1</v>
      </c>
      <c r="F10" s="711">
        <v>1</v>
      </c>
      <c r="G10" s="711"/>
      <c r="H10" s="711"/>
      <c r="I10" s="711"/>
      <c r="J10" s="711"/>
      <c r="K10" s="711"/>
      <c r="L10" s="711"/>
      <c r="M10" s="711"/>
      <c r="N10" s="711"/>
      <c r="O10" s="711"/>
      <c r="P10" s="711"/>
      <c r="Q10" s="711">
        <v>1</v>
      </c>
      <c r="R10" s="711">
        <v>1</v>
      </c>
      <c r="S10" s="711">
        <v>1</v>
      </c>
      <c r="T10" s="711">
        <v>1</v>
      </c>
      <c r="U10" s="711">
        <v>2</v>
      </c>
      <c r="V10" s="711"/>
      <c r="W10" s="711"/>
      <c r="X10" s="711"/>
      <c r="Y10" s="711"/>
      <c r="Z10" s="711"/>
      <c r="AA10" s="711"/>
      <c r="AB10" s="711"/>
      <c r="AC10" s="711"/>
      <c r="AD10" s="711">
        <v>4</v>
      </c>
    </row>
    <row r="11" spans="1:30">
      <c r="C11" s="709" t="s">
        <v>43</v>
      </c>
      <c r="D11" s="711">
        <v>1</v>
      </c>
      <c r="E11" s="711">
        <v>4</v>
      </c>
      <c r="F11" s="711">
        <v>5</v>
      </c>
      <c r="G11" s="711">
        <v>2</v>
      </c>
      <c r="H11" s="711"/>
      <c r="I11" s="711">
        <v>2</v>
      </c>
      <c r="J11" s="711">
        <v>2</v>
      </c>
      <c r="K11" s="711"/>
      <c r="L11" s="711">
        <v>2</v>
      </c>
      <c r="M11" s="711">
        <v>1</v>
      </c>
      <c r="N11" s="711"/>
      <c r="O11" s="711">
        <v>1</v>
      </c>
      <c r="P11" s="711"/>
      <c r="Q11" s="711"/>
      <c r="R11" s="711"/>
      <c r="S11" s="711">
        <v>2</v>
      </c>
      <c r="T11" s="711">
        <v>8</v>
      </c>
      <c r="U11" s="711">
        <v>10</v>
      </c>
      <c r="V11" s="711">
        <v>2</v>
      </c>
      <c r="W11" s="711"/>
      <c r="X11" s="711">
        <v>2</v>
      </c>
      <c r="Y11" s="711">
        <v>2</v>
      </c>
      <c r="Z11" s="711"/>
      <c r="AA11" s="711">
        <v>2</v>
      </c>
      <c r="AB11" s="711"/>
      <c r="AC11" s="711"/>
      <c r="AD11" s="711">
        <v>24</v>
      </c>
    </row>
    <row r="12" spans="1:30">
      <c r="C12" s="709" t="s">
        <v>35</v>
      </c>
      <c r="D12" s="711"/>
      <c r="E12" s="711"/>
      <c r="F12" s="711"/>
      <c r="G12" s="711"/>
      <c r="H12" s="711"/>
      <c r="I12" s="711"/>
      <c r="J12" s="711"/>
      <c r="K12" s="711"/>
      <c r="L12" s="711"/>
      <c r="M12" s="711">
        <v>1</v>
      </c>
      <c r="N12" s="711"/>
      <c r="O12" s="711">
        <v>1</v>
      </c>
      <c r="P12" s="711"/>
      <c r="Q12" s="711"/>
      <c r="R12" s="711"/>
      <c r="S12" s="711"/>
      <c r="T12" s="711"/>
      <c r="U12" s="711"/>
      <c r="V12" s="711"/>
      <c r="W12" s="711"/>
      <c r="X12" s="711"/>
      <c r="Y12" s="711"/>
      <c r="Z12" s="711"/>
      <c r="AA12" s="711"/>
      <c r="AB12" s="711"/>
      <c r="AC12" s="711"/>
      <c r="AD12" s="711">
        <v>1</v>
      </c>
    </row>
    <row r="13" spans="1:30">
      <c r="C13" s="709" t="s">
        <v>34</v>
      </c>
      <c r="D13" s="711">
        <v>1</v>
      </c>
      <c r="E13" s="711"/>
      <c r="F13" s="711">
        <v>1</v>
      </c>
      <c r="G13" s="711">
        <v>1</v>
      </c>
      <c r="H13" s="711"/>
      <c r="I13" s="711">
        <v>1</v>
      </c>
      <c r="J13" s="711">
        <v>2</v>
      </c>
      <c r="K13" s="711"/>
      <c r="L13" s="711">
        <v>2</v>
      </c>
      <c r="M13" s="711"/>
      <c r="N13" s="711"/>
      <c r="O13" s="711"/>
      <c r="P13" s="711"/>
      <c r="Q13" s="711"/>
      <c r="R13" s="711"/>
      <c r="S13" s="711">
        <v>1</v>
      </c>
      <c r="T13" s="711"/>
      <c r="U13" s="711">
        <v>1</v>
      </c>
      <c r="V13" s="711">
        <v>1</v>
      </c>
      <c r="W13" s="711"/>
      <c r="X13" s="711">
        <v>1</v>
      </c>
      <c r="Y13" s="711">
        <v>1</v>
      </c>
      <c r="Z13" s="711"/>
      <c r="AA13" s="711">
        <v>1</v>
      </c>
      <c r="AB13" s="711"/>
      <c r="AC13" s="711"/>
      <c r="AD13" s="711">
        <v>7</v>
      </c>
    </row>
    <row r="14" spans="1:30">
      <c r="C14" s="709" t="s">
        <v>22</v>
      </c>
      <c r="D14" s="711">
        <v>1</v>
      </c>
      <c r="E14" s="711">
        <v>1</v>
      </c>
      <c r="F14" s="711">
        <v>2</v>
      </c>
      <c r="G14" s="711"/>
      <c r="H14" s="711"/>
      <c r="I14" s="711"/>
      <c r="J14" s="711"/>
      <c r="K14" s="711"/>
      <c r="L14" s="711"/>
      <c r="M14" s="711"/>
      <c r="N14" s="711"/>
      <c r="O14" s="711"/>
      <c r="P14" s="711">
        <v>4</v>
      </c>
      <c r="Q14" s="711"/>
      <c r="R14" s="711">
        <v>4</v>
      </c>
      <c r="S14" s="711"/>
      <c r="T14" s="711"/>
      <c r="U14" s="711"/>
      <c r="V14" s="711"/>
      <c r="W14" s="711"/>
      <c r="X14" s="711"/>
      <c r="Y14" s="711"/>
      <c r="Z14" s="711"/>
      <c r="AA14" s="711"/>
      <c r="AB14" s="711"/>
      <c r="AC14" s="711"/>
      <c r="AD14" s="711">
        <v>6</v>
      </c>
    </row>
    <row r="15" spans="1:30">
      <c r="C15" s="709" t="s">
        <v>28</v>
      </c>
      <c r="D15" s="711">
        <v>2</v>
      </c>
      <c r="E15" s="711">
        <v>1</v>
      </c>
      <c r="F15" s="711">
        <v>3</v>
      </c>
      <c r="G15" s="711"/>
      <c r="H15" s="711"/>
      <c r="I15" s="711"/>
      <c r="J15" s="711"/>
      <c r="K15" s="711"/>
      <c r="L15" s="711"/>
      <c r="M15" s="711"/>
      <c r="N15" s="711"/>
      <c r="O15" s="711"/>
      <c r="P15" s="711"/>
      <c r="Q15" s="711"/>
      <c r="R15" s="711"/>
      <c r="S15" s="711">
        <v>3</v>
      </c>
      <c r="T15" s="711"/>
      <c r="U15" s="711">
        <v>3</v>
      </c>
      <c r="V15" s="711"/>
      <c r="W15" s="711"/>
      <c r="X15" s="711"/>
      <c r="Y15" s="711"/>
      <c r="Z15" s="711"/>
      <c r="AA15" s="711"/>
      <c r="AB15" s="711"/>
      <c r="AC15" s="711"/>
      <c r="AD15" s="711">
        <v>6</v>
      </c>
    </row>
    <row r="16" spans="1:30">
      <c r="C16" s="709" t="s">
        <v>14</v>
      </c>
      <c r="D16" s="711">
        <v>4</v>
      </c>
      <c r="E16" s="711"/>
      <c r="F16" s="711">
        <v>4</v>
      </c>
      <c r="G16" s="711"/>
      <c r="H16" s="711">
        <v>2</v>
      </c>
      <c r="I16" s="711">
        <v>2</v>
      </c>
      <c r="J16" s="711">
        <v>3</v>
      </c>
      <c r="K16" s="711"/>
      <c r="L16" s="711">
        <v>3</v>
      </c>
      <c r="M16" s="711">
        <v>1</v>
      </c>
      <c r="N16" s="711"/>
      <c r="O16" s="711">
        <v>1</v>
      </c>
      <c r="P16" s="711"/>
      <c r="Q16" s="711"/>
      <c r="R16" s="711"/>
      <c r="S16" s="711">
        <v>1</v>
      </c>
      <c r="T16" s="711"/>
      <c r="U16" s="711">
        <v>1</v>
      </c>
      <c r="V16" s="711"/>
      <c r="W16" s="711">
        <v>2</v>
      </c>
      <c r="X16" s="711">
        <v>2</v>
      </c>
      <c r="Y16" s="711"/>
      <c r="Z16" s="711">
        <v>2</v>
      </c>
      <c r="AA16" s="711">
        <v>2</v>
      </c>
      <c r="AB16" s="711"/>
      <c r="AC16" s="711"/>
      <c r="AD16" s="711">
        <v>15</v>
      </c>
    </row>
    <row r="17" spans="1:30">
      <c r="C17" s="709" t="s">
        <v>25</v>
      </c>
      <c r="D17" s="711">
        <v>1</v>
      </c>
      <c r="E17" s="711">
        <v>3</v>
      </c>
      <c r="F17" s="711">
        <v>4</v>
      </c>
      <c r="G17" s="711">
        <v>5</v>
      </c>
      <c r="H17" s="711">
        <v>3</v>
      </c>
      <c r="I17" s="711">
        <v>8</v>
      </c>
      <c r="J17" s="711">
        <v>4</v>
      </c>
      <c r="K17" s="711">
        <v>2</v>
      </c>
      <c r="L17" s="711">
        <v>6</v>
      </c>
      <c r="M17" s="711"/>
      <c r="N17" s="711"/>
      <c r="O17" s="711"/>
      <c r="P17" s="711"/>
      <c r="Q17" s="711"/>
      <c r="R17" s="711"/>
      <c r="S17" s="711"/>
      <c r="T17" s="711"/>
      <c r="U17" s="711"/>
      <c r="V17" s="711">
        <v>5</v>
      </c>
      <c r="W17" s="711">
        <v>3</v>
      </c>
      <c r="X17" s="711">
        <v>8</v>
      </c>
      <c r="Y17" s="711">
        <v>5</v>
      </c>
      <c r="Z17" s="711">
        <v>3</v>
      </c>
      <c r="AA17" s="711">
        <v>8</v>
      </c>
      <c r="AB17" s="711"/>
      <c r="AC17" s="711"/>
      <c r="AD17" s="711">
        <v>34</v>
      </c>
    </row>
    <row r="18" spans="1:30">
      <c r="B18" s="709" t="s">
        <v>110</v>
      </c>
      <c r="C18" s="709"/>
      <c r="D18" s="711">
        <v>10</v>
      </c>
      <c r="E18" s="711">
        <v>10</v>
      </c>
      <c r="F18" s="711">
        <v>20</v>
      </c>
      <c r="G18" s="711">
        <v>8</v>
      </c>
      <c r="H18" s="711">
        <v>5</v>
      </c>
      <c r="I18" s="711">
        <v>13</v>
      </c>
      <c r="J18" s="711">
        <v>11</v>
      </c>
      <c r="K18" s="711">
        <v>2</v>
      </c>
      <c r="L18" s="711">
        <v>13</v>
      </c>
      <c r="M18" s="711">
        <v>3</v>
      </c>
      <c r="N18" s="711"/>
      <c r="O18" s="711">
        <v>3</v>
      </c>
      <c r="P18" s="711">
        <v>4</v>
      </c>
      <c r="Q18" s="711">
        <v>1</v>
      </c>
      <c r="R18" s="711">
        <v>5</v>
      </c>
      <c r="S18" s="711">
        <v>8</v>
      </c>
      <c r="T18" s="711">
        <v>9</v>
      </c>
      <c r="U18" s="711">
        <v>17</v>
      </c>
      <c r="V18" s="711">
        <v>8</v>
      </c>
      <c r="W18" s="711">
        <v>5</v>
      </c>
      <c r="X18" s="711">
        <v>13</v>
      </c>
      <c r="Y18" s="711">
        <v>8</v>
      </c>
      <c r="Z18" s="711">
        <v>5</v>
      </c>
      <c r="AA18" s="711">
        <v>13</v>
      </c>
      <c r="AB18" s="711"/>
      <c r="AC18" s="711"/>
      <c r="AD18" s="711">
        <v>97</v>
      </c>
    </row>
    <row r="19" spans="1:30">
      <c r="B19" s="709" t="s">
        <v>19</v>
      </c>
      <c r="C19" s="709" t="s">
        <v>39</v>
      </c>
      <c r="D19" s="711"/>
      <c r="E19" s="711"/>
      <c r="F19" s="711"/>
      <c r="G19" s="711">
        <v>1</v>
      </c>
      <c r="H19" s="711">
        <v>1</v>
      </c>
      <c r="I19" s="711">
        <v>2</v>
      </c>
      <c r="J19" s="711"/>
      <c r="K19" s="711">
        <v>1</v>
      </c>
      <c r="L19" s="711">
        <v>1</v>
      </c>
      <c r="M19" s="711">
        <v>2</v>
      </c>
      <c r="N19" s="711">
        <v>1</v>
      </c>
      <c r="O19" s="711">
        <v>3</v>
      </c>
      <c r="P19" s="711"/>
      <c r="Q19" s="711"/>
      <c r="R19" s="711"/>
      <c r="S19" s="711"/>
      <c r="T19" s="711"/>
      <c r="U19" s="711"/>
      <c r="V19" s="711">
        <v>1</v>
      </c>
      <c r="W19" s="711">
        <v>1</v>
      </c>
      <c r="X19" s="711">
        <v>2</v>
      </c>
      <c r="Y19" s="711">
        <v>1</v>
      </c>
      <c r="Z19" s="711">
        <v>1</v>
      </c>
      <c r="AA19" s="711">
        <v>2</v>
      </c>
      <c r="AB19" s="711"/>
      <c r="AC19" s="711"/>
      <c r="AD19" s="711">
        <v>10</v>
      </c>
    </row>
    <row r="20" spans="1:30">
      <c r="C20" s="709" t="s">
        <v>35</v>
      </c>
      <c r="D20" s="711">
        <v>1</v>
      </c>
      <c r="E20" s="711"/>
      <c r="F20" s="711">
        <v>1</v>
      </c>
      <c r="G20" s="711"/>
      <c r="H20" s="711"/>
      <c r="I20" s="711"/>
      <c r="J20" s="711"/>
      <c r="K20" s="711"/>
      <c r="L20" s="711"/>
      <c r="M20" s="711"/>
      <c r="N20" s="711"/>
      <c r="O20" s="711"/>
      <c r="P20" s="711"/>
      <c r="Q20" s="711"/>
      <c r="R20" s="711"/>
      <c r="S20" s="711"/>
      <c r="T20" s="711"/>
      <c r="U20" s="711"/>
      <c r="V20" s="711"/>
      <c r="W20" s="711"/>
      <c r="X20" s="711"/>
      <c r="Y20" s="711"/>
      <c r="Z20" s="711"/>
      <c r="AA20" s="711"/>
      <c r="AB20" s="711"/>
      <c r="AC20" s="711"/>
      <c r="AD20" s="711">
        <v>1</v>
      </c>
    </row>
    <row r="21" spans="1:30">
      <c r="C21" s="709" t="s">
        <v>34</v>
      </c>
      <c r="D21" s="711"/>
      <c r="E21" s="711">
        <v>1</v>
      </c>
      <c r="F21" s="711">
        <v>1</v>
      </c>
      <c r="G21" s="711"/>
      <c r="H21" s="711"/>
      <c r="I21" s="711"/>
      <c r="J21" s="711"/>
      <c r="K21" s="711"/>
      <c r="L21" s="711"/>
      <c r="M21" s="711">
        <v>1</v>
      </c>
      <c r="N21" s="711"/>
      <c r="O21" s="711">
        <v>1</v>
      </c>
      <c r="P21" s="711"/>
      <c r="Q21" s="711"/>
      <c r="R21" s="711"/>
      <c r="S21" s="711">
        <v>1</v>
      </c>
      <c r="T21" s="711"/>
      <c r="U21" s="711">
        <v>1</v>
      </c>
      <c r="V21" s="711"/>
      <c r="W21" s="711"/>
      <c r="X21" s="711"/>
      <c r="Y21" s="711"/>
      <c r="Z21" s="711"/>
      <c r="AA21" s="711"/>
      <c r="AB21" s="711"/>
      <c r="AC21" s="711"/>
      <c r="AD21" s="711">
        <v>3</v>
      </c>
    </row>
    <row r="22" spans="1:30">
      <c r="C22" s="709" t="s">
        <v>29</v>
      </c>
      <c r="D22" s="711">
        <v>1</v>
      </c>
      <c r="E22" s="711"/>
      <c r="F22" s="711">
        <v>1</v>
      </c>
      <c r="G22" s="711"/>
      <c r="H22" s="711"/>
      <c r="I22" s="711"/>
      <c r="J22" s="711"/>
      <c r="K22" s="711"/>
      <c r="L22" s="711"/>
      <c r="M22" s="711"/>
      <c r="N22" s="711"/>
      <c r="O22" s="711"/>
      <c r="P22" s="711"/>
      <c r="Q22" s="711"/>
      <c r="R22" s="711"/>
      <c r="S22" s="711"/>
      <c r="T22" s="711"/>
      <c r="U22" s="711"/>
      <c r="V22" s="711"/>
      <c r="W22" s="711"/>
      <c r="X22" s="711"/>
      <c r="Y22" s="711"/>
      <c r="Z22" s="711"/>
      <c r="AA22" s="711"/>
      <c r="AB22" s="711"/>
      <c r="AC22" s="711"/>
      <c r="AD22" s="711">
        <v>1</v>
      </c>
    </row>
    <row r="23" spans="1:30">
      <c r="C23" s="709" t="s">
        <v>14</v>
      </c>
      <c r="D23" s="711">
        <v>1</v>
      </c>
      <c r="E23" s="711"/>
      <c r="F23" s="711">
        <v>1</v>
      </c>
      <c r="G23" s="711">
        <v>1</v>
      </c>
      <c r="H23" s="711"/>
      <c r="I23" s="711">
        <v>1</v>
      </c>
      <c r="J23" s="711">
        <v>2</v>
      </c>
      <c r="K23" s="711"/>
      <c r="L23" s="711">
        <v>2</v>
      </c>
      <c r="M23" s="711"/>
      <c r="N23" s="711">
        <v>1</v>
      </c>
      <c r="O23" s="711">
        <v>1</v>
      </c>
      <c r="P23" s="711"/>
      <c r="Q23" s="711"/>
      <c r="R23" s="711"/>
      <c r="S23" s="711"/>
      <c r="T23" s="711"/>
      <c r="U23" s="711"/>
      <c r="V23" s="711">
        <v>1</v>
      </c>
      <c r="W23" s="711"/>
      <c r="X23" s="711">
        <v>1</v>
      </c>
      <c r="Y23" s="711">
        <v>1</v>
      </c>
      <c r="Z23" s="711"/>
      <c r="AA23" s="711">
        <v>1</v>
      </c>
      <c r="AB23" s="711"/>
      <c r="AC23" s="711"/>
      <c r="AD23" s="711">
        <v>7</v>
      </c>
    </row>
    <row r="24" spans="1:30">
      <c r="B24" s="709" t="s">
        <v>111</v>
      </c>
      <c r="C24" s="709"/>
      <c r="D24" s="711">
        <v>3</v>
      </c>
      <c r="E24" s="711">
        <v>1</v>
      </c>
      <c r="F24" s="711">
        <v>4</v>
      </c>
      <c r="G24" s="711">
        <v>2</v>
      </c>
      <c r="H24" s="711">
        <v>1</v>
      </c>
      <c r="I24" s="711">
        <v>3</v>
      </c>
      <c r="J24" s="711">
        <v>2</v>
      </c>
      <c r="K24" s="711">
        <v>1</v>
      </c>
      <c r="L24" s="711">
        <v>3</v>
      </c>
      <c r="M24" s="711">
        <v>3</v>
      </c>
      <c r="N24" s="711">
        <v>2</v>
      </c>
      <c r="O24" s="711">
        <v>5</v>
      </c>
      <c r="P24" s="711"/>
      <c r="Q24" s="711"/>
      <c r="R24" s="711"/>
      <c r="S24" s="711">
        <v>1</v>
      </c>
      <c r="T24" s="711"/>
      <c r="U24" s="711">
        <v>1</v>
      </c>
      <c r="V24" s="711">
        <v>2</v>
      </c>
      <c r="W24" s="711">
        <v>1</v>
      </c>
      <c r="X24" s="711">
        <v>3</v>
      </c>
      <c r="Y24" s="711">
        <v>2</v>
      </c>
      <c r="Z24" s="711">
        <v>1</v>
      </c>
      <c r="AA24" s="711">
        <v>3</v>
      </c>
      <c r="AB24" s="711"/>
      <c r="AC24" s="711"/>
      <c r="AD24" s="711">
        <v>22</v>
      </c>
    </row>
    <row r="25" spans="1:30">
      <c r="A25" s="709" t="s">
        <v>93</v>
      </c>
      <c r="B25" s="709"/>
      <c r="C25" s="709"/>
      <c r="D25" s="711">
        <v>13</v>
      </c>
      <c r="E25" s="711">
        <v>11</v>
      </c>
      <c r="F25" s="711">
        <v>24</v>
      </c>
      <c r="G25" s="711">
        <v>10</v>
      </c>
      <c r="H25" s="711">
        <v>6</v>
      </c>
      <c r="I25" s="711">
        <v>16</v>
      </c>
      <c r="J25" s="711">
        <v>13</v>
      </c>
      <c r="K25" s="711">
        <v>3</v>
      </c>
      <c r="L25" s="711">
        <v>16</v>
      </c>
      <c r="M25" s="711">
        <v>6</v>
      </c>
      <c r="N25" s="711">
        <v>2</v>
      </c>
      <c r="O25" s="711">
        <v>8</v>
      </c>
      <c r="P25" s="711">
        <v>4</v>
      </c>
      <c r="Q25" s="711">
        <v>1</v>
      </c>
      <c r="R25" s="711">
        <v>5</v>
      </c>
      <c r="S25" s="711">
        <v>9</v>
      </c>
      <c r="T25" s="711">
        <v>9</v>
      </c>
      <c r="U25" s="711">
        <v>18</v>
      </c>
      <c r="V25" s="711">
        <v>10</v>
      </c>
      <c r="W25" s="711">
        <v>6</v>
      </c>
      <c r="X25" s="711">
        <v>16</v>
      </c>
      <c r="Y25" s="711">
        <v>10</v>
      </c>
      <c r="Z25" s="711">
        <v>6</v>
      </c>
      <c r="AA25" s="711">
        <v>16</v>
      </c>
      <c r="AB25" s="711"/>
      <c r="AC25" s="711"/>
      <c r="AD25" s="711">
        <v>119</v>
      </c>
    </row>
    <row r="26" spans="1:30">
      <c r="A26" s="709">
        <v>2</v>
      </c>
      <c r="B26" s="709" t="s">
        <v>16</v>
      </c>
      <c r="C26" s="709" t="s">
        <v>45</v>
      </c>
      <c r="D26" s="711">
        <v>9</v>
      </c>
      <c r="E26" s="711">
        <v>7</v>
      </c>
      <c r="F26" s="711">
        <v>16</v>
      </c>
      <c r="G26" s="711">
        <v>3</v>
      </c>
      <c r="H26" s="711">
        <v>2</v>
      </c>
      <c r="I26" s="711">
        <v>5</v>
      </c>
      <c r="J26" s="711">
        <v>7</v>
      </c>
      <c r="K26" s="711"/>
      <c r="L26" s="711">
        <v>7</v>
      </c>
      <c r="M26" s="711">
        <v>3</v>
      </c>
      <c r="N26" s="711"/>
      <c r="O26" s="711">
        <v>3</v>
      </c>
      <c r="P26" s="711">
        <v>4</v>
      </c>
      <c r="Q26" s="711">
        <v>1</v>
      </c>
      <c r="R26" s="711">
        <v>5</v>
      </c>
      <c r="S26" s="711">
        <v>8</v>
      </c>
      <c r="T26" s="711">
        <v>5</v>
      </c>
      <c r="U26" s="711">
        <v>13</v>
      </c>
      <c r="V26" s="711">
        <v>3</v>
      </c>
      <c r="W26" s="711">
        <v>2</v>
      </c>
      <c r="X26" s="711">
        <v>5</v>
      </c>
      <c r="Y26" s="711">
        <v>3</v>
      </c>
      <c r="Z26" s="711">
        <v>2</v>
      </c>
      <c r="AA26" s="711">
        <v>5</v>
      </c>
      <c r="AB26" s="711"/>
      <c r="AC26" s="711"/>
      <c r="AD26" s="711">
        <v>59</v>
      </c>
    </row>
    <row r="27" spans="1:30">
      <c r="C27" s="709" t="s">
        <v>46</v>
      </c>
      <c r="D27" s="711">
        <v>7</v>
      </c>
      <c r="E27" s="711">
        <v>2</v>
      </c>
      <c r="F27" s="711">
        <v>9</v>
      </c>
      <c r="G27" s="711"/>
      <c r="H27" s="711">
        <v>2</v>
      </c>
      <c r="I27" s="711">
        <v>2</v>
      </c>
      <c r="J27" s="711">
        <v>3</v>
      </c>
      <c r="K27" s="711"/>
      <c r="L27" s="711">
        <v>3</v>
      </c>
      <c r="M27" s="711">
        <v>1</v>
      </c>
      <c r="N27" s="711"/>
      <c r="O27" s="711">
        <v>1</v>
      </c>
      <c r="P27" s="711">
        <v>4</v>
      </c>
      <c r="Q27" s="711"/>
      <c r="R27" s="711">
        <v>4</v>
      </c>
      <c r="S27" s="711">
        <v>4</v>
      </c>
      <c r="T27" s="711"/>
      <c r="U27" s="711">
        <v>4</v>
      </c>
      <c r="V27" s="711"/>
      <c r="W27" s="711">
        <v>2</v>
      </c>
      <c r="X27" s="711">
        <v>2</v>
      </c>
      <c r="Y27" s="711"/>
      <c r="Z27" s="711">
        <v>2</v>
      </c>
      <c r="AA27" s="711">
        <v>2</v>
      </c>
      <c r="AB27" s="711"/>
      <c r="AC27" s="711"/>
      <c r="AD27" s="711">
        <v>27</v>
      </c>
    </row>
    <row r="28" spans="1:30">
      <c r="C28" s="709" t="s">
        <v>48</v>
      </c>
      <c r="D28" s="711">
        <v>1</v>
      </c>
      <c r="E28" s="711">
        <v>1</v>
      </c>
      <c r="F28" s="711">
        <v>2</v>
      </c>
      <c r="G28" s="711">
        <v>1</v>
      </c>
      <c r="H28" s="711"/>
      <c r="I28" s="711">
        <v>1</v>
      </c>
      <c r="J28" s="711">
        <v>2</v>
      </c>
      <c r="K28" s="711"/>
      <c r="L28" s="711">
        <v>2</v>
      </c>
      <c r="M28" s="711">
        <v>1</v>
      </c>
      <c r="N28" s="711"/>
      <c r="O28" s="711">
        <v>1</v>
      </c>
      <c r="P28" s="711"/>
      <c r="Q28" s="711">
        <v>1</v>
      </c>
      <c r="R28" s="711">
        <v>1</v>
      </c>
      <c r="S28" s="711">
        <v>2</v>
      </c>
      <c r="T28" s="711">
        <v>1</v>
      </c>
      <c r="U28" s="711">
        <v>3</v>
      </c>
      <c r="V28" s="711">
        <v>1</v>
      </c>
      <c r="W28" s="711"/>
      <c r="X28" s="711">
        <v>1</v>
      </c>
      <c r="Y28" s="711">
        <v>1</v>
      </c>
      <c r="Z28" s="711"/>
      <c r="AA28" s="711">
        <v>1</v>
      </c>
      <c r="AB28" s="711"/>
      <c r="AC28" s="711"/>
      <c r="AD28" s="711">
        <v>12</v>
      </c>
    </row>
    <row r="29" spans="1:30">
      <c r="C29" s="709" t="s">
        <v>103</v>
      </c>
      <c r="D29" s="711">
        <v>8</v>
      </c>
      <c r="E29" s="711">
        <v>3</v>
      </c>
      <c r="F29" s="711">
        <v>11</v>
      </c>
      <c r="G29" s="711">
        <v>1</v>
      </c>
      <c r="H29" s="711">
        <v>2</v>
      </c>
      <c r="I29" s="711">
        <v>3</v>
      </c>
      <c r="J29" s="711">
        <v>5</v>
      </c>
      <c r="K29" s="711"/>
      <c r="L29" s="711">
        <v>5</v>
      </c>
      <c r="M29" s="711">
        <v>2</v>
      </c>
      <c r="N29" s="711"/>
      <c r="O29" s="711">
        <v>2</v>
      </c>
      <c r="P29" s="711">
        <v>4</v>
      </c>
      <c r="Q29" s="711">
        <v>1</v>
      </c>
      <c r="R29" s="711">
        <v>5</v>
      </c>
      <c r="S29" s="711">
        <v>6</v>
      </c>
      <c r="T29" s="711">
        <v>1</v>
      </c>
      <c r="U29" s="711">
        <v>7</v>
      </c>
      <c r="V29" s="711">
        <v>1</v>
      </c>
      <c r="W29" s="711">
        <v>2</v>
      </c>
      <c r="X29" s="711">
        <v>3</v>
      </c>
      <c r="Y29" s="711">
        <v>1</v>
      </c>
      <c r="Z29" s="711">
        <v>2</v>
      </c>
      <c r="AA29" s="711">
        <v>3</v>
      </c>
      <c r="AB29" s="711"/>
      <c r="AC29" s="711"/>
      <c r="AD29" s="711">
        <v>39</v>
      </c>
    </row>
    <row r="30" spans="1:30">
      <c r="C30" s="709" t="s">
        <v>47</v>
      </c>
      <c r="D30" s="711">
        <v>1</v>
      </c>
      <c r="E30" s="711">
        <v>3</v>
      </c>
      <c r="F30" s="711">
        <v>4</v>
      </c>
      <c r="G30" s="711">
        <v>5</v>
      </c>
      <c r="H30" s="711">
        <v>3</v>
      </c>
      <c r="I30" s="711">
        <v>8</v>
      </c>
      <c r="J30" s="711">
        <v>4</v>
      </c>
      <c r="K30" s="711">
        <v>2</v>
      </c>
      <c r="L30" s="711">
        <v>6</v>
      </c>
      <c r="M30" s="711"/>
      <c r="N30" s="711"/>
      <c r="O30" s="711"/>
      <c r="P30" s="711"/>
      <c r="Q30" s="711"/>
      <c r="R30" s="711"/>
      <c r="S30" s="711"/>
      <c r="T30" s="711"/>
      <c r="U30" s="711"/>
      <c r="V30" s="711">
        <v>5</v>
      </c>
      <c r="W30" s="711">
        <v>3</v>
      </c>
      <c r="X30" s="711">
        <v>8</v>
      </c>
      <c r="Y30" s="711">
        <v>5</v>
      </c>
      <c r="Z30" s="711">
        <v>3</v>
      </c>
      <c r="AA30" s="711">
        <v>8</v>
      </c>
      <c r="AB30" s="711"/>
      <c r="AC30" s="711"/>
      <c r="AD30" s="711">
        <v>34</v>
      </c>
    </row>
    <row r="31" spans="1:30">
      <c r="C31" s="709" t="s">
        <v>104</v>
      </c>
      <c r="D31" s="711">
        <v>1</v>
      </c>
      <c r="E31" s="711">
        <v>4</v>
      </c>
      <c r="F31" s="711">
        <v>5</v>
      </c>
      <c r="G31" s="711">
        <v>2</v>
      </c>
      <c r="H31" s="711"/>
      <c r="I31" s="711">
        <v>2</v>
      </c>
      <c r="J31" s="711">
        <v>2</v>
      </c>
      <c r="K31" s="711"/>
      <c r="L31" s="711">
        <v>2</v>
      </c>
      <c r="M31" s="711">
        <v>1</v>
      </c>
      <c r="N31" s="711"/>
      <c r="O31" s="711">
        <v>1</v>
      </c>
      <c r="P31" s="711"/>
      <c r="Q31" s="711"/>
      <c r="R31" s="711"/>
      <c r="S31" s="711">
        <v>2</v>
      </c>
      <c r="T31" s="711">
        <v>8</v>
      </c>
      <c r="U31" s="711">
        <v>10</v>
      </c>
      <c r="V31" s="711">
        <v>2</v>
      </c>
      <c r="W31" s="711"/>
      <c r="X31" s="711">
        <v>2</v>
      </c>
      <c r="Y31" s="711">
        <v>2</v>
      </c>
      <c r="Z31" s="711"/>
      <c r="AA31" s="711">
        <v>2</v>
      </c>
      <c r="AB31" s="711"/>
      <c r="AC31" s="711"/>
      <c r="AD31" s="711">
        <v>24</v>
      </c>
    </row>
    <row r="32" spans="1:30">
      <c r="B32" s="709" t="s">
        <v>110</v>
      </c>
      <c r="C32" s="709"/>
      <c r="D32" s="711">
        <v>27</v>
      </c>
      <c r="E32" s="711">
        <v>20</v>
      </c>
      <c r="F32" s="711">
        <v>47</v>
      </c>
      <c r="G32" s="711">
        <v>12</v>
      </c>
      <c r="H32" s="711">
        <v>9</v>
      </c>
      <c r="I32" s="711">
        <v>21</v>
      </c>
      <c r="J32" s="711">
        <v>23</v>
      </c>
      <c r="K32" s="711">
        <v>2</v>
      </c>
      <c r="L32" s="711">
        <v>25</v>
      </c>
      <c r="M32" s="711">
        <v>8</v>
      </c>
      <c r="N32" s="711"/>
      <c r="O32" s="711">
        <v>8</v>
      </c>
      <c r="P32" s="711">
        <v>12</v>
      </c>
      <c r="Q32" s="711">
        <v>3</v>
      </c>
      <c r="R32" s="711">
        <v>15</v>
      </c>
      <c r="S32" s="711">
        <v>22</v>
      </c>
      <c r="T32" s="711">
        <v>15</v>
      </c>
      <c r="U32" s="711">
        <v>37</v>
      </c>
      <c r="V32" s="711">
        <v>12</v>
      </c>
      <c r="W32" s="711">
        <v>9</v>
      </c>
      <c r="X32" s="711">
        <v>21</v>
      </c>
      <c r="Y32" s="711">
        <v>12</v>
      </c>
      <c r="Z32" s="711">
        <v>9</v>
      </c>
      <c r="AA32" s="711">
        <v>21</v>
      </c>
      <c r="AB32" s="711"/>
      <c r="AC32" s="711"/>
      <c r="AD32" s="711">
        <v>195</v>
      </c>
    </row>
    <row r="33" spans="1:30">
      <c r="B33" s="709" t="s">
        <v>19</v>
      </c>
      <c r="C33" s="709" t="s">
        <v>45</v>
      </c>
      <c r="D33" s="711">
        <v>3</v>
      </c>
      <c r="E33" s="711">
        <v>1</v>
      </c>
      <c r="F33" s="711">
        <v>4</v>
      </c>
      <c r="G33" s="711">
        <v>2</v>
      </c>
      <c r="H33" s="711">
        <v>1</v>
      </c>
      <c r="I33" s="711">
        <v>3</v>
      </c>
      <c r="J33" s="711">
        <v>2</v>
      </c>
      <c r="K33" s="711">
        <v>1</v>
      </c>
      <c r="L33" s="711">
        <v>3</v>
      </c>
      <c r="M33" s="711">
        <v>3</v>
      </c>
      <c r="N33" s="711">
        <v>2</v>
      </c>
      <c r="O33" s="711">
        <v>5</v>
      </c>
      <c r="P33" s="711"/>
      <c r="Q33" s="711"/>
      <c r="R33" s="711"/>
      <c r="S33" s="711">
        <v>1</v>
      </c>
      <c r="T33" s="711"/>
      <c r="U33" s="711">
        <v>1</v>
      </c>
      <c r="V33" s="711">
        <v>2</v>
      </c>
      <c r="W33" s="711">
        <v>1</v>
      </c>
      <c r="X33" s="711">
        <v>3</v>
      </c>
      <c r="Y33" s="711">
        <v>2</v>
      </c>
      <c r="Z33" s="711">
        <v>1</v>
      </c>
      <c r="AA33" s="711">
        <v>3</v>
      </c>
      <c r="AB33" s="711"/>
      <c r="AC33" s="711"/>
      <c r="AD33" s="711">
        <v>22</v>
      </c>
    </row>
    <row r="34" spans="1:30">
      <c r="C34" s="709" t="s">
        <v>46</v>
      </c>
      <c r="D34" s="711">
        <v>2</v>
      </c>
      <c r="E34" s="711"/>
      <c r="F34" s="711">
        <v>2</v>
      </c>
      <c r="G34" s="711">
        <v>1</v>
      </c>
      <c r="H34" s="711"/>
      <c r="I34" s="711">
        <v>1</v>
      </c>
      <c r="J34" s="711">
        <v>2</v>
      </c>
      <c r="K34" s="711"/>
      <c r="L34" s="711">
        <v>2</v>
      </c>
      <c r="M34" s="711"/>
      <c r="N34" s="711">
        <v>1</v>
      </c>
      <c r="O34" s="711">
        <v>1</v>
      </c>
      <c r="P34" s="711"/>
      <c r="Q34" s="711"/>
      <c r="R34" s="711"/>
      <c r="S34" s="711"/>
      <c r="T34" s="711"/>
      <c r="U34" s="711"/>
      <c r="V34" s="711">
        <v>1</v>
      </c>
      <c r="W34" s="711"/>
      <c r="X34" s="711">
        <v>1</v>
      </c>
      <c r="Y34" s="711">
        <v>1</v>
      </c>
      <c r="Z34" s="711"/>
      <c r="AA34" s="711">
        <v>1</v>
      </c>
      <c r="AB34" s="711"/>
      <c r="AC34" s="711"/>
      <c r="AD34" s="711">
        <v>8</v>
      </c>
    </row>
    <row r="35" spans="1:30">
      <c r="C35" s="709" t="s">
        <v>48</v>
      </c>
      <c r="D35" s="711">
        <v>1</v>
      </c>
      <c r="E35" s="711">
        <v>1</v>
      </c>
      <c r="F35" s="711">
        <v>2</v>
      </c>
      <c r="G35" s="711">
        <v>1</v>
      </c>
      <c r="H35" s="711">
        <v>1</v>
      </c>
      <c r="I35" s="711">
        <v>2</v>
      </c>
      <c r="J35" s="711"/>
      <c r="K35" s="711">
        <v>1</v>
      </c>
      <c r="L35" s="711">
        <v>1</v>
      </c>
      <c r="M35" s="711">
        <v>3</v>
      </c>
      <c r="N35" s="711">
        <v>1</v>
      </c>
      <c r="O35" s="711">
        <v>4</v>
      </c>
      <c r="P35" s="711"/>
      <c r="Q35" s="711"/>
      <c r="R35" s="711"/>
      <c r="S35" s="711">
        <v>1</v>
      </c>
      <c r="T35" s="711"/>
      <c r="U35" s="711">
        <v>1</v>
      </c>
      <c r="V35" s="711">
        <v>1</v>
      </c>
      <c r="W35" s="711">
        <v>1</v>
      </c>
      <c r="X35" s="711">
        <v>2</v>
      </c>
      <c r="Y35" s="711">
        <v>1</v>
      </c>
      <c r="Z35" s="711">
        <v>1</v>
      </c>
      <c r="AA35" s="711">
        <v>2</v>
      </c>
      <c r="AB35" s="711"/>
      <c r="AC35" s="711"/>
      <c r="AD35" s="711">
        <v>14</v>
      </c>
    </row>
    <row r="36" spans="1:30">
      <c r="C36" s="709" t="s">
        <v>103</v>
      </c>
      <c r="D36" s="711">
        <v>3</v>
      </c>
      <c r="E36" s="711">
        <v>1</v>
      </c>
      <c r="F36" s="711">
        <v>4</v>
      </c>
      <c r="G36" s="711">
        <v>2</v>
      </c>
      <c r="H36" s="711">
        <v>1</v>
      </c>
      <c r="I36" s="711">
        <v>3</v>
      </c>
      <c r="J36" s="711">
        <v>2</v>
      </c>
      <c r="K36" s="711">
        <v>1</v>
      </c>
      <c r="L36" s="711">
        <v>3</v>
      </c>
      <c r="M36" s="711">
        <v>3</v>
      </c>
      <c r="N36" s="711">
        <v>2</v>
      </c>
      <c r="O36" s="711">
        <v>5</v>
      </c>
      <c r="P36" s="711"/>
      <c r="Q36" s="711"/>
      <c r="R36" s="711"/>
      <c r="S36" s="711">
        <v>1</v>
      </c>
      <c r="T36" s="711"/>
      <c r="U36" s="711">
        <v>1</v>
      </c>
      <c r="V36" s="711">
        <v>2</v>
      </c>
      <c r="W36" s="711">
        <v>1</v>
      </c>
      <c r="X36" s="711">
        <v>3</v>
      </c>
      <c r="Y36" s="711">
        <v>2</v>
      </c>
      <c r="Z36" s="711">
        <v>1</v>
      </c>
      <c r="AA36" s="711">
        <v>3</v>
      </c>
      <c r="AB36" s="711"/>
      <c r="AC36" s="711"/>
      <c r="AD36" s="711">
        <v>22</v>
      </c>
    </row>
    <row r="37" spans="1:30">
      <c r="B37" s="709" t="s">
        <v>111</v>
      </c>
      <c r="C37" s="709"/>
      <c r="D37" s="711">
        <v>9</v>
      </c>
      <c r="E37" s="711">
        <v>3</v>
      </c>
      <c r="F37" s="711">
        <v>12</v>
      </c>
      <c r="G37" s="711">
        <v>6</v>
      </c>
      <c r="H37" s="711">
        <v>3</v>
      </c>
      <c r="I37" s="711">
        <v>9</v>
      </c>
      <c r="J37" s="711">
        <v>6</v>
      </c>
      <c r="K37" s="711">
        <v>3</v>
      </c>
      <c r="L37" s="711">
        <v>9</v>
      </c>
      <c r="M37" s="711">
        <v>9</v>
      </c>
      <c r="N37" s="711">
        <v>6</v>
      </c>
      <c r="O37" s="711">
        <v>15</v>
      </c>
      <c r="P37" s="711"/>
      <c r="Q37" s="711"/>
      <c r="R37" s="711"/>
      <c r="S37" s="711">
        <v>3</v>
      </c>
      <c r="T37" s="711"/>
      <c r="U37" s="711">
        <v>3</v>
      </c>
      <c r="V37" s="711">
        <v>6</v>
      </c>
      <c r="W37" s="711">
        <v>3</v>
      </c>
      <c r="X37" s="711">
        <v>9</v>
      </c>
      <c r="Y37" s="711">
        <v>6</v>
      </c>
      <c r="Z37" s="711">
        <v>3</v>
      </c>
      <c r="AA37" s="711">
        <v>9</v>
      </c>
      <c r="AB37" s="711"/>
      <c r="AC37" s="711"/>
      <c r="AD37" s="711">
        <v>66</v>
      </c>
    </row>
    <row r="38" spans="1:30">
      <c r="A38" s="709" t="s">
        <v>94</v>
      </c>
      <c r="B38" s="709"/>
      <c r="C38" s="709"/>
      <c r="D38" s="711">
        <v>36</v>
      </c>
      <c r="E38" s="711">
        <v>23</v>
      </c>
      <c r="F38" s="711">
        <v>59</v>
      </c>
      <c r="G38" s="711">
        <v>18</v>
      </c>
      <c r="H38" s="711">
        <v>12</v>
      </c>
      <c r="I38" s="711">
        <v>30</v>
      </c>
      <c r="J38" s="711">
        <v>29</v>
      </c>
      <c r="K38" s="711">
        <v>5</v>
      </c>
      <c r="L38" s="711">
        <v>34</v>
      </c>
      <c r="M38" s="711">
        <v>17</v>
      </c>
      <c r="N38" s="711">
        <v>6</v>
      </c>
      <c r="O38" s="711">
        <v>23</v>
      </c>
      <c r="P38" s="711">
        <v>12</v>
      </c>
      <c r="Q38" s="711">
        <v>3</v>
      </c>
      <c r="R38" s="711">
        <v>15</v>
      </c>
      <c r="S38" s="711">
        <v>25</v>
      </c>
      <c r="T38" s="711">
        <v>15</v>
      </c>
      <c r="U38" s="711">
        <v>40</v>
      </c>
      <c r="V38" s="711">
        <v>18</v>
      </c>
      <c r="W38" s="711">
        <v>12</v>
      </c>
      <c r="X38" s="711">
        <v>30</v>
      </c>
      <c r="Y38" s="711">
        <v>18</v>
      </c>
      <c r="Z38" s="711">
        <v>12</v>
      </c>
      <c r="AA38" s="711">
        <v>30</v>
      </c>
      <c r="AB38" s="711"/>
      <c r="AC38" s="711"/>
      <c r="AD38" s="711">
        <v>261</v>
      </c>
    </row>
    <row r="39" spans="1:30">
      <c r="A39" s="709" t="s">
        <v>88</v>
      </c>
      <c r="D39" s="711">
        <v>49</v>
      </c>
      <c r="E39" s="711">
        <v>34</v>
      </c>
      <c r="F39" s="711">
        <v>83</v>
      </c>
      <c r="G39" s="711">
        <v>28</v>
      </c>
      <c r="H39" s="711">
        <v>18</v>
      </c>
      <c r="I39" s="711">
        <v>46</v>
      </c>
      <c r="J39" s="711">
        <v>42</v>
      </c>
      <c r="K39" s="711">
        <v>8</v>
      </c>
      <c r="L39" s="711">
        <v>50</v>
      </c>
      <c r="M39" s="711">
        <v>23</v>
      </c>
      <c r="N39" s="711">
        <v>8</v>
      </c>
      <c r="O39" s="711">
        <v>31</v>
      </c>
      <c r="P39" s="711">
        <v>16</v>
      </c>
      <c r="Q39" s="711">
        <v>4</v>
      </c>
      <c r="R39" s="711">
        <v>20</v>
      </c>
      <c r="S39" s="711">
        <v>34</v>
      </c>
      <c r="T39" s="711">
        <v>24</v>
      </c>
      <c r="U39" s="711">
        <v>58</v>
      </c>
      <c r="V39" s="711">
        <v>28</v>
      </c>
      <c r="W39" s="711">
        <v>18</v>
      </c>
      <c r="X39" s="711">
        <v>46</v>
      </c>
      <c r="Y39" s="711">
        <v>28</v>
      </c>
      <c r="Z39" s="711">
        <v>18</v>
      </c>
      <c r="AA39" s="711">
        <v>46</v>
      </c>
      <c r="AB39" s="711"/>
      <c r="AC39" s="711"/>
      <c r="AD39" s="711">
        <v>380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3:AC39"/>
  <sheetViews>
    <sheetView zoomScale="80" zoomScaleNormal="80" workbookViewId="0">
      <selection activeCell="B12" sqref="B12"/>
    </sheetView>
  </sheetViews>
  <sheetFormatPr defaultRowHeight="15"/>
  <cols>
    <col min="2" max="2" width="20.140625" bestFit="1" customWidth="1"/>
    <col min="3" max="4" width="15.85546875" bestFit="1" customWidth="1"/>
    <col min="5" max="5" width="11.7109375" bestFit="1" customWidth="1"/>
    <col min="6" max="7" width="8.28515625" customWidth="1"/>
    <col min="8" max="8" width="11.7109375" bestFit="1" customWidth="1"/>
    <col min="9" max="10" width="13" bestFit="1" customWidth="1"/>
    <col min="11" max="11" width="16.5703125" bestFit="1" customWidth="1"/>
    <col min="12" max="13" width="13.42578125" bestFit="1" customWidth="1"/>
    <col min="14" max="14" width="17" bestFit="1" customWidth="1"/>
    <col min="15" max="16" width="15.42578125" bestFit="1" customWidth="1"/>
    <col min="17" max="17" width="18.85546875" bestFit="1" customWidth="1"/>
    <col min="18" max="19" width="6.140625" customWidth="1"/>
    <col min="20" max="20" width="9.5703125" bestFit="1" customWidth="1"/>
    <col min="21" max="22" width="14.28515625" bestFit="1" customWidth="1"/>
    <col min="23" max="23" width="17.85546875" bestFit="1" customWidth="1"/>
    <col min="24" max="25" width="11" bestFit="1" customWidth="1"/>
    <col min="26" max="26" width="14.42578125" bestFit="1" customWidth="1"/>
    <col min="27" max="27" width="9.140625" customWidth="1"/>
    <col min="28" max="28" width="12.42578125" bestFit="1" customWidth="1"/>
    <col min="29" max="29" width="11.5703125" bestFit="1" customWidth="1"/>
  </cols>
  <sheetData>
    <row r="3" spans="1:29">
      <c r="A3" s="710" t="s">
        <v>1</v>
      </c>
      <c r="B3" s="709" t="s">
        <v>15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>
      <c r="A4" s="710" t="s">
        <v>89</v>
      </c>
      <c r="B4" s="709" t="s">
        <v>90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>
      <c r="A5" s="710" t="s">
        <v>108</v>
      </c>
      <c r="B5" s="709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>
      <c r="A7" s="710" t="s">
        <v>109</v>
      </c>
      <c r="C7" s="710" t="s">
        <v>106</v>
      </c>
      <c r="D7" s="710" t="s">
        <v>3</v>
      </c>
    </row>
    <row r="8" spans="1:29">
      <c r="C8" s="709" t="s">
        <v>21</v>
      </c>
      <c r="E8" s="709" t="s">
        <v>95</v>
      </c>
      <c r="F8" s="709" t="s">
        <v>18</v>
      </c>
      <c r="H8" s="709" t="s">
        <v>96</v>
      </c>
      <c r="I8" s="709" t="s">
        <v>20</v>
      </c>
      <c r="K8" s="709" t="s">
        <v>97</v>
      </c>
      <c r="L8" s="709" t="s">
        <v>17</v>
      </c>
      <c r="N8" s="709" t="s">
        <v>98</v>
      </c>
      <c r="O8" s="709" t="s">
        <v>24</v>
      </c>
      <c r="Q8" s="709" t="s">
        <v>99</v>
      </c>
      <c r="R8" s="709" t="s">
        <v>5</v>
      </c>
      <c r="T8" s="709" t="s">
        <v>100</v>
      </c>
      <c r="U8" s="709" t="s">
        <v>9</v>
      </c>
      <c r="W8" s="709" t="s">
        <v>101</v>
      </c>
      <c r="X8" s="709" t="s">
        <v>8</v>
      </c>
      <c r="Z8" s="709" t="s">
        <v>102</v>
      </c>
      <c r="AA8" s="709" t="s">
        <v>244</v>
      </c>
      <c r="AB8" s="709" t="s">
        <v>245</v>
      </c>
      <c r="AC8" s="709" t="s">
        <v>88</v>
      </c>
    </row>
    <row r="9" spans="1:29">
      <c r="A9" s="710" t="s">
        <v>105</v>
      </c>
      <c r="B9" s="710" t="s">
        <v>107</v>
      </c>
      <c r="C9" s="718" t="s">
        <v>91</v>
      </c>
      <c r="D9" s="718" t="s">
        <v>92</v>
      </c>
      <c r="F9" s="718" t="s">
        <v>91</v>
      </c>
      <c r="G9" s="718" t="s">
        <v>92</v>
      </c>
      <c r="I9" s="718" t="s">
        <v>91</v>
      </c>
      <c r="J9" s="718" t="s">
        <v>92</v>
      </c>
      <c r="L9" s="718" t="s">
        <v>91</v>
      </c>
      <c r="M9" s="718" t="s">
        <v>92</v>
      </c>
      <c r="O9" s="718" t="s">
        <v>91</v>
      </c>
      <c r="P9" s="718" t="s">
        <v>92</v>
      </c>
      <c r="R9" s="718" t="s">
        <v>91</v>
      </c>
      <c r="S9" s="718" t="s">
        <v>92</v>
      </c>
      <c r="U9" s="718" t="s">
        <v>91</v>
      </c>
      <c r="V9" s="718" t="s">
        <v>92</v>
      </c>
      <c r="X9" s="718" t="s">
        <v>91</v>
      </c>
      <c r="Y9" s="718" t="s">
        <v>92</v>
      </c>
      <c r="AA9" s="718" t="s">
        <v>91</v>
      </c>
    </row>
    <row r="10" spans="1:29">
      <c r="A10" s="709">
        <v>1</v>
      </c>
      <c r="B10" s="709" t="s">
        <v>39</v>
      </c>
      <c r="C10" s="711"/>
      <c r="D10" s="711">
        <v>1</v>
      </c>
      <c r="E10" s="711">
        <v>1</v>
      </c>
      <c r="F10" s="711">
        <v>1</v>
      </c>
      <c r="G10" s="711">
        <v>1</v>
      </c>
      <c r="H10" s="711">
        <v>2</v>
      </c>
      <c r="I10" s="711"/>
      <c r="J10" s="711">
        <v>1</v>
      </c>
      <c r="K10" s="711">
        <v>1</v>
      </c>
      <c r="L10" s="711">
        <v>2</v>
      </c>
      <c r="M10" s="711">
        <v>1</v>
      </c>
      <c r="N10" s="711">
        <v>3</v>
      </c>
      <c r="O10" s="711"/>
      <c r="P10" s="711">
        <v>1</v>
      </c>
      <c r="Q10" s="711">
        <v>1</v>
      </c>
      <c r="R10" s="711">
        <v>1</v>
      </c>
      <c r="S10" s="711">
        <v>1</v>
      </c>
      <c r="T10" s="711">
        <v>2</v>
      </c>
      <c r="U10" s="711">
        <v>1</v>
      </c>
      <c r="V10" s="711">
        <v>1</v>
      </c>
      <c r="W10" s="711">
        <v>2</v>
      </c>
      <c r="X10" s="711">
        <v>1</v>
      </c>
      <c r="Y10" s="711">
        <v>1</v>
      </c>
      <c r="Z10" s="711">
        <v>2</v>
      </c>
      <c r="AA10" s="711"/>
      <c r="AB10" s="711"/>
      <c r="AC10" s="711">
        <v>14</v>
      </c>
    </row>
    <row r="11" spans="1:29">
      <c r="B11" s="709" t="s">
        <v>43</v>
      </c>
      <c r="C11" s="711">
        <v>1</v>
      </c>
      <c r="D11" s="711">
        <v>4</v>
      </c>
      <c r="E11" s="711">
        <v>5</v>
      </c>
      <c r="F11" s="711">
        <v>2</v>
      </c>
      <c r="G11" s="711"/>
      <c r="H11" s="711">
        <v>2</v>
      </c>
      <c r="I11" s="711">
        <v>2</v>
      </c>
      <c r="J11" s="711"/>
      <c r="K11" s="711">
        <v>2</v>
      </c>
      <c r="L11" s="711">
        <v>1</v>
      </c>
      <c r="M11" s="711"/>
      <c r="N11" s="711">
        <v>1</v>
      </c>
      <c r="O11" s="711"/>
      <c r="P11" s="711"/>
      <c r="Q11" s="711"/>
      <c r="R11" s="711">
        <v>2</v>
      </c>
      <c r="S11" s="711">
        <v>8</v>
      </c>
      <c r="T11" s="711">
        <v>10</v>
      </c>
      <c r="U11" s="711">
        <v>2</v>
      </c>
      <c r="V11" s="711"/>
      <c r="W11" s="711">
        <v>2</v>
      </c>
      <c r="X11" s="711">
        <v>2</v>
      </c>
      <c r="Y11" s="711"/>
      <c r="Z11" s="711">
        <v>2</v>
      </c>
      <c r="AA11" s="711"/>
      <c r="AB11" s="711"/>
      <c r="AC11" s="711">
        <v>24</v>
      </c>
    </row>
    <row r="12" spans="1:29">
      <c r="B12" s="709" t="s">
        <v>35</v>
      </c>
      <c r="C12" s="711">
        <v>1</v>
      </c>
      <c r="D12" s="711"/>
      <c r="E12" s="711">
        <v>1</v>
      </c>
      <c r="F12" s="711"/>
      <c r="G12" s="711"/>
      <c r="H12" s="711"/>
      <c r="I12" s="711"/>
      <c r="J12" s="711"/>
      <c r="K12" s="711"/>
      <c r="L12" s="711">
        <v>1</v>
      </c>
      <c r="M12" s="711"/>
      <c r="N12" s="711">
        <v>1</v>
      </c>
      <c r="O12" s="711"/>
      <c r="P12" s="711"/>
      <c r="Q12" s="711"/>
      <c r="R12" s="711"/>
      <c r="S12" s="711"/>
      <c r="T12" s="711"/>
      <c r="U12" s="711"/>
      <c r="V12" s="711"/>
      <c r="W12" s="711"/>
      <c r="X12" s="711"/>
      <c r="Y12" s="711"/>
      <c r="Z12" s="711"/>
      <c r="AA12" s="711"/>
      <c r="AB12" s="711"/>
      <c r="AC12" s="711">
        <v>2</v>
      </c>
    </row>
    <row r="13" spans="1:29">
      <c r="B13" s="709" t="s">
        <v>34</v>
      </c>
      <c r="C13" s="711">
        <v>1</v>
      </c>
      <c r="D13" s="711">
        <v>1</v>
      </c>
      <c r="E13" s="711">
        <v>2</v>
      </c>
      <c r="F13" s="711">
        <v>1</v>
      </c>
      <c r="G13" s="711"/>
      <c r="H13" s="711">
        <v>1</v>
      </c>
      <c r="I13" s="711">
        <v>2</v>
      </c>
      <c r="J13" s="711"/>
      <c r="K13" s="711">
        <v>2</v>
      </c>
      <c r="L13" s="711">
        <v>1</v>
      </c>
      <c r="M13" s="711"/>
      <c r="N13" s="711">
        <v>1</v>
      </c>
      <c r="O13" s="711"/>
      <c r="P13" s="711"/>
      <c r="Q13" s="711"/>
      <c r="R13" s="711">
        <v>2</v>
      </c>
      <c r="S13" s="711"/>
      <c r="T13" s="711">
        <v>2</v>
      </c>
      <c r="U13" s="711">
        <v>1</v>
      </c>
      <c r="V13" s="711"/>
      <c r="W13" s="711">
        <v>1</v>
      </c>
      <c r="X13" s="711">
        <v>1</v>
      </c>
      <c r="Y13" s="711"/>
      <c r="Z13" s="711">
        <v>1</v>
      </c>
      <c r="AA13" s="711"/>
      <c r="AB13" s="711"/>
      <c r="AC13" s="711">
        <v>10</v>
      </c>
    </row>
    <row r="14" spans="1:29">
      <c r="B14" s="709" t="s">
        <v>22</v>
      </c>
      <c r="C14" s="711">
        <v>1</v>
      </c>
      <c r="D14" s="711">
        <v>1</v>
      </c>
      <c r="E14" s="711">
        <v>2</v>
      </c>
      <c r="F14" s="711"/>
      <c r="G14" s="711"/>
      <c r="H14" s="711"/>
      <c r="I14" s="711"/>
      <c r="J14" s="711"/>
      <c r="K14" s="711"/>
      <c r="L14" s="711"/>
      <c r="M14" s="711"/>
      <c r="N14" s="711"/>
      <c r="O14" s="711">
        <v>4</v>
      </c>
      <c r="P14" s="711"/>
      <c r="Q14" s="711">
        <v>4</v>
      </c>
      <c r="R14" s="711"/>
      <c r="S14" s="711"/>
      <c r="T14" s="711"/>
      <c r="U14" s="711"/>
      <c r="V14" s="711"/>
      <c r="W14" s="711"/>
      <c r="X14" s="711"/>
      <c r="Y14" s="711"/>
      <c r="Z14" s="711"/>
      <c r="AA14" s="711"/>
      <c r="AB14" s="711"/>
      <c r="AC14" s="711">
        <v>6</v>
      </c>
    </row>
    <row r="15" spans="1:29">
      <c r="B15" s="709" t="s">
        <v>28</v>
      </c>
      <c r="C15" s="711">
        <v>2</v>
      </c>
      <c r="D15" s="711">
        <v>1</v>
      </c>
      <c r="E15" s="711">
        <v>3</v>
      </c>
      <c r="F15" s="711"/>
      <c r="G15" s="711"/>
      <c r="H15" s="711"/>
      <c r="I15" s="711"/>
      <c r="J15" s="711"/>
      <c r="K15" s="711"/>
      <c r="L15" s="711"/>
      <c r="M15" s="711"/>
      <c r="N15" s="711"/>
      <c r="O15" s="711"/>
      <c r="P15" s="711"/>
      <c r="Q15" s="711"/>
      <c r="R15" s="711">
        <v>3</v>
      </c>
      <c r="S15" s="711"/>
      <c r="T15" s="711">
        <v>3</v>
      </c>
      <c r="U15" s="711"/>
      <c r="V15" s="711"/>
      <c r="W15" s="711"/>
      <c r="X15" s="711"/>
      <c r="Y15" s="711"/>
      <c r="Z15" s="711"/>
      <c r="AA15" s="711"/>
      <c r="AB15" s="711"/>
      <c r="AC15" s="711">
        <v>6</v>
      </c>
    </row>
    <row r="16" spans="1:29">
      <c r="B16" s="709" t="s">
        <v>29</v>
      </c>
      <c r="C16" s="711">
        <v>1</v>
      </c>
      <c r="D16" s="711"/>
      <c r="E16" s="711">
        <v>1</v>
      </c>
      <c r="F16" s="711"/>
      <c r="G16" s="711"/>
      <c r="H16" s="711"/>
      <c r="I16" s="711"/>
      <c r="J16" s="711"/>
      <c r="K16" s="711"/>
      <c r="L16" s="711"/>
      <c r="M16" s="711"/>
      <c r="N16" s="711"/>
      <c r="O16" s="711"/>
      <c r="P16" s="711"/>
      <c r="Q16" s="711"/>
      <c r="R16" s="711"/>
      <c r="S16" s="711"/>
      <c r="T16" s="711"/>
      <c r="U16" s="711"/>
      <c r="V16" s="711"/>
      <c r="W16" s="711"/>
      <c r="X16" s="711"/>
      <c r="Y16" s="711"/>
      <c r="Z16" s="711"/>
      <c r="AA16" s="711"/>
      <c r="AB16" s="711"/>
      <c r="AC16" s="711">
        <v>1</v>
      </c>
    </row>
    <row r="17" spans="1:29">
      <c r="B17" s="709" t="s">
        <v>14</v>
      </c>
      <c r="C17" s="711">
        <v>5</v>
      </c>
      <c r="D17" s="711"/>
      <c r="E17" s="711">
        <v>5</v>
      </c>
      <c r="F17" s="711">
        <v>1</v>
      </c>
      <c r="G17" s="711">
        <v>2</v>
      </c>
      <c r="H17" s="711">
        <v>3</v>
      </c>
      <c r="I17" s="711">
        <v>5</v>
      </c>
      <c r="J17" s="711"/>
      <c r="K17" s="711">
        <v>5</v>
      </c>
      <c r="L17" s="711">
        <v>1</v>
      </c>
      <c r="M17" s="711">
        <v>1</v>
      </c>
      <c r="N17" s="711">
        <v>2</v>
      </c>
      <c r="O17" s="711"/>
      <c r="P17" s="711"/>
      <c r="Q17" s="711"/>
      <c r="R17" s="711">
        <v>1</v>
      </c>
      <c r="S17" s="711"/>
      <c r="T17" s="711">
        <v>1</v>
      </c>
      <c r="U17" s="711">
        <v>1</v>
      </c>
      <c r="V17" s="711">
        <v>2</v>
      </c>
      <c r="W17" s="711">
        <v>3</v>
      </c>
      <c r="X17" s="711">
        <v>1</v>
      </c>
      <c r="Y17" s="711">
        <v>2</v>
      </c>
      <c r="Z17" s="711">
        <v>3</v>
      </c>
      <c r="AA17" s="711"/>
      <c r="AB17" s="711"/>
      <c r="AC17" s="711">
        <v>22</v>
      </c>
    </row>
    <row r="18" spans="1:29">
      <c r="B18" s="709" t="s">
        <v>25</v>
      </c>
      <c r="C18" s="711">
        <v>1</v>
      </c>
      <c r="D18" s="711">
        <v>3</v>
      </c>
      <c r="E18" s="711">
        <v>4</v>
      </c>
      <c r="F18" s="711">
        <v>5</v>
      </c>
      <c r="G18" s="711">
        <v>3</v>
      </c>
      <c r="H18" s="711">
        <v>8</v>
      </c>
      <c r="I18" s="711">
        <v>4</v>
      </c>
      <c r="J18" s="711">
        <v>2</v>
      </c>
      <c r="K18" s="711">
        <v>6</v>
      </c>
      <c r="L18" s="711"/>
      <c r="M18" s="711"/>
      <c r="N18" s="711"/>
      <c r="O18" s="711"/>
      <c r="P18" s="711"/>
      <c r="Q18" s="711"/>
      <c r="R18" s="711"/>
      <c r="S18" s="711"/>
      <c r="T18" s="711"/>
      <c r="U18" s="711">
        <v>5</v>
      </c>
      <c r="V18" s="711">
        <v>3</v>
      </c>
      <c r="W18" s="711">
        <v>8</v>
      </c>
      <c r="X18" s="711">
        <v>5</v>
      </c>
      <c r="Y18" s="711">
        <v>3</v>
      </c>
      <c r="Z18" s="711">
        <v>8</v>
      </c>
      <c r="AA18" s="711"/>
      <c r="AB18" s="711"/>
      <c r="AC18" s="711">
        <v>34</v>
      </c>
    </row>
    <row r="19" spans="1:29">
      <c r="A19" s="709" t="s">
        <v>93</v>
      </c>
      <c r="B19" s="709"/>
      <c r="C19" s="711">
        <v>13</v>
      </c>
      <c r="D19" s="711">
        <v>11</v>
      </c>
      <c r="E19" s="711">
        <v>24</v>
      </c>
      <c r="F19" s="711">
        <v>10</v>
      </c>
      <c r="G19" s="711">
        <v>6</v>
      </c>
      <c r="H19" s="711">
        <v>16</v>
      </c>
      <c r="I19" s="711">
        <v>13</v>
      </c>
      <c r="J19" s="711">
        <v>3</v>
      </c>
      <c r="K19" s="711">
        <v>16</v>
      </c>
      <c r="L19" s="711">
        <v>6</v>
      </c>
      <c r="M19" s="711">
        <v>2</v>
      </c>
      <c r="N19" s="711">
        <v>8</v>
      </c>
      <c r="O19" s="711">
        <v>4</v>
      </c>
      <c r="P19" s="711">
        <v>1</v>
      </c>
      <c r="Q19" s="711">
        <v>5</v>
      </c>
      <c r="R19" s="711">
        <v>9</v>
      </c>
      <c r="S19" s="711">
        <v>9</v>
      </c>
      <c r="T19" s="711">
        <v>18</v>
      </c>
      <c r="U19" s="711">
        <v>10</v>
      </c>
      <c r="V19" s="711">
        <v>6</v>
      </c>
      <c r="W19" s="711">
        <v>16</v>
      </c>
      <c r="X19" s="711">
        <v>10</v>
      </c>
      <c r="Y19" s="711">
        <v>6</v>
      </c>
      <c r="Z19" s="711">
        <v>16</v>
      </c>
      <c r="AA19" s="711"/>
      <c r="AB19" s="711"/>
      <c r="AC19" s="711">
        <v>119</v>
      </c>
    </row>
    <row r="20" spans="1:29">
      <c r="A20" s="709">
        <v>2</v>
      </c>
      <c r="B20" s="709" t="s">
        <v>45</v>
      </c>
      <c r="C20" s="711">
        <v>12</v>
      </c>
      <c r="D20" s="711">
        <v>8</v>
      </c>
      <c r="E20" s="711">
        <v>20</v>
      </c>
      <c r="F20" s="711">
        <v>5</v>
      </c>
      <c r="G20" s="711">
        <v>3</v>
      </c>
      <c r="H20" s="711">
        <v>8</v>
      </c>
      <c r="I20" s="711">
        <v>9</v>
      </c>
      <c r="J20" s="711">
        <v>1</v>
      </c>
      <c r="K20" s="711">
        <v>10</v>
      </c>
      <c r="L20" s="711">
        <v>6</v>
      </c>
      <c r="M20" s="711">
        <v>2</v>
      </c>
      <c r="N20" s="711">
        <v>8</v>
      </c>
      <c r="O20" s="711">
        <v>4</v>
      </c>
      <c r="P20" s="711">
        <v>1</v>
      </c>
      <c r="Q20" s="711">
        <v>5</v>
      </c>
      <c r="R20" s="711">
        <v>9</v>
      </c>
      <c r="S20" s="711">
        <v>5</v>
      </c>
      <c r="T20" s="711">
        <v>14</v>
      </c>
      <c r="U20" s="711">
        <v>5</v>
      </c>
      <c r="V20" s="711">
        <v>3</v>
      </c>
      <c r="W20" s="711">
        <v>8</v>
      </c>
      <c r="X20" s="711">
        <v>5</v>
      </c>
      <c r="Y20" s="711">
        <v>3</v>
      </c>
      <c r="Z20" s="711">
        <v>8</v>
      </c>
      <c r="AA20" s="711"/>
      <c r="AB20" s="711"/>
      <c r="AC20" s="711">
        <v>81</v>
      </c>
    </row>
    <row r="21" spans="1:29">
      <c r="B21" s="709" t="s">
        <v>46</v>
      </c>
      <c r="C21" s="711">
        <v>9</v>
      </c>
      <c r="D21" s="711">
        <v>2</v>
      </c>
      <c r="E21" s="711">
        <v>11</v>
      </c>
      <c r="F21" s="711">
        <v>1</v>
      </c>
      <c r="G21" s="711">
        <v>2</v>
      </c>
      <c r="H21" s="711">
        <v>3</v>
      </c>
      <c r="I21" s="711">
        <v>5</v>
      </c>
      <c r="J21" s="711"/>
      <c r="K21" s="711">
        <v>5</v>
      </c>
      <c r="L21" s="711">
        <v>1</v>
      </c>
      <c r="M21" s="711">
        <v>1</v>
      </c>
      <c r="N21" s="711">
        <v>2</v>
      </c>
      <c r="O21" s="711">
        <v>4</v>
      </c>
      <c r="P21" s="711"/>
      <c r="Q21" s="711">
        <v>4</v>
      </c>
      <c r="R21" s="711">
        <v>4</v>
      </c>
      <c r="S21" s="711"/>
      <c r="T21" s="711">
        <v>4</v>
      </c>
      <c r="U21" s="711">
        <v>1</v>
      </c>
      <c r="V21" s="711">
        <v>2</v>
      </c>
      <c r="W21" s="711">
        <v>3</v>
      </c>
      <c r="X21" s="711">
        <v>1</v>
      </c>
      <c r="Y21" s="711">
        <v>2</v>
      </c>
      <c r="Z21" s="711">
        <v>3</v>
      </c>
      <c r="AA21" s="711"/>
      <c r="AB21" s="711"/>
      <c r="AC21" s="711">
        <v>35</v>
      </c>
    </row>
    <row r="22" spans="1:29">
      <c r="B22" s="709" t="s">
        <v>48</v>
      </c>
      <c r="C22" s="711">
        <v>2</v>
      </c>
      <c r="D22" s="711">
        <v>2</v>
      </c>
      <c r="E22" s="711">
        <v>4</v>
      </c>
      <c r="F22" s="711">
        <v>2</v>
      </c>
      <c r="G22" s="711">
        <v>1</v>
      </c>
      <c r="H22" s="711">
        <v>3</v>
      </c>
      <c r="I22" s="711">
        <v>2</v>
      </c>
      <c r="J22" s="711">
        <v>1</v>
      </c>
      <c r="K22" s="711">
        <v>3</v>
      </c>
      <c r="L22" s="711">
        <v>4</v>
      </c>
      <c r="M22" s="711">
        <v>1</v>
      </c>
      <c r="N22" s="711">
        <v>5</v>
      </c>
      <c r="O22" s="711"/>
      <c r="P22" s="711">
        <v>1</v>
      </c>
      <c r="Q22" s="711">
        <v>1</v>
      </c>
      <c r="R22" s="711">
        <v>3</v>
      </c>
      <c r="S22" s="711">
        <v>1</v>
      </c>
      <c r="T22" s="711">
        <v>4</v>
      </c>
      <c r="U22" s="711">
        <v>2</v>
      </c>
      <c r="V22" s="711">
        <v>1</v>
      </c>
      <c r="W22" s="711">
        <v>3</v>
      </c>
      <c r="X22" s="711">
        <v>2</v>
      </c>
      <c r="Y22" s="711">
        <v>1</v>
      </c>
      <c r="Z22" s="711">
        <v>3</v>
      </c>
      <c r="AA22" s="711"/>
      <c r="AB22" s="711"/>
      <c r="AC22" s="711">
        <v>26</v>
      </c>
    </row>
    <row r="23" spans="1:29">
      <c r="B23" s="709" t="s">
        <v>103</v>
      </c>
      <c r="C23" s="711">
        <v>11</v>
      </c>
      <c r="D23" s="711">
        <v>4</v>
      </c>
      <c r="E23" s="711">
        <v>15</v>
      </c>
      <c r="F23" s="711">
        <v>3</v>
      </c>
      <c r="G23" s="711">
        <v>3</v>
      </c>
      <c r="H23" s="711">
        <v>6</v>
      </c>
      <c r="I23" s="711">
        <v>7</v>
      </c>
      <c r="J23" s="711">
        <v>1</v>
      </c>
      <c r="K23" s="711">
        <v>8</v>
      </c>
      <c r="L23" s="711">
        <v>5</v>
      </c>
      <c r="M23" s="711">
        <v>2</v>
      </c>
      <c r="N23" s="711">
        <v>7</v>
      </c>
      <c r="O23" s="711">
        <v>4</v>
      </c>
      <c r="P23" s="711">
        <v>1</v>
      </c>
      <c r="Q23" s="711">
        <v>5</v>
      </c>
      <c r="R23" s="711">
        <v>7</v>
      </c>
      <c r="S23" s="711">
        <v>1</v>
      </c>
      <c r="T23" s="711">
        <v>8</v>
      </c>
      <c r="U23" s="711">
        <v>3</v>
      </c>
      <c r="V23" s="711">
        <v>3</v>
      </c>
      <c r="W23" s="711">
        <v>6</v>
      </c>
      <c r="X23" s="711">
        <v>3</v>
      </c>
      <c r="Y23" s="711">
        <v>3</v>
      </c>
      <c r="Z23" s="711">
        <v>6</v>
      </c>
      <c r="AA23" s="711"/>
      <c r="AB23" s="711"/>
      <c r="AC23" s="711">
        <v>61</v>
      </c>
    </row>
    <row r="24" spans="1:29">
      <c r="B24" s="709" t="s">
        <v>47</v>
      </c>
      <c r="C24" s="711">
        <v>1</v>
      </c>
      <c r="D24" s="711">
        <v>3</v>
      </c>
      <c r="E24" s="711">
        <v>4</v>
      </c>
      <c r="F24" s="711">
        <v>5</v>
      </c>
      <c r="G24" s="711">
        <v>3</v>
      </c>
      <c r="H24" s="711">
        <v>8</v>
      </c>
      <c r="I24" s="711">
        <v>4</v>
      </c>
      <c r="J24" s="711">
        <v>2</v>
      </c>
      <c r="K24" s="711">
        <v>6</v>
      </c>
      <c r="L24" s="711"/>
      <c r="M24" s="711"/>
      <c r="N24" s="711"/>
      <c r="O24" s="711"/>
      <c r="P24" s="711"/>
      <c r="Q24" s="711"/>
      <c r="R24" s="711"/>
      <c r="S24" s="711"/>
      <c r="T24" s="711"/>
      <c r="U24" s="711">
        <v>5</v>
      </c>
      <c r="V24" s="711">
        <v>3</v>
      </c>
      <c r="W24" s="711">
        <v>8</v>
      </c>
      <c r="X24" s="711">
        <v>5</v>
      </c>
      <c r="Y24" s="711">
        <v>3</v>
      </c>
      <c r="Z24" s="711">
        <v>8</v>
      </c>
      <c r="AA24" s="711"/>
      <c r="AB24" s="711"/>
      <c r="AC24" s="711">
        <v>34</v>
      </c>
    </row>
    <row r="25" spans="1:29">
      <c r="B25" s="709" t="s">
        <v>104</v>
      </c>
      <c r="C25" s="711">
        <v>1</v>
      </c>
      <c r="D25" s="711">
        <v>4</v>
      </c>
      <c r="E25" s="711">
        <v>5</v>
      </c>
      <c r="F25" s="711">
        <v>2</v>
      </c>
      <c r="G25" s="711"/>
      <c r="H25" s="711">
        <v>2</v>
      </c>
      <c r="I25" s="711">
        <v>2</v>
      </c>
      <c r="J25" s="711"/>
      <c r="K25" s="711">
        <v>2</v>
      </c>
      <c r="L25" s="711">
        <v>1</v>
      </c>
      <c r="M25" s="711"/>
      <c r="N25" s="711">
        <v>1</v>
      </c>
      <c r="O25" s="711"/>
      <c r="P25" s="711"/>
      <c r="Q25" s="711"/>
      <c r="R25" s="711">
        <v>2</v>
      </c>
      <c r="S25" s="711">
        <v>8</v>
      </c>
      <c r="T25" s="711">
        <v>10</v>
      </c>
      <c r="U25" s="711">
        <v>2</v>
      </c>
      <c r="V25" s="711"/>
      <c r="W25" s="711">
        <v>2</v>
      </c>
      <c r="X25" s="711">
        <v>2</v>
      </c>
      <c r="Y25" s="711"/>
      <c r="Z25" s="711">
        <v>2</v>
      </c>
      <c r="AA25" s="711"/>
      <c r="AB25" s="711"/>
      <c r="AC25" s="711">
        <v>24</v>
      </c>
    </row>
    <row r="26" spans="1:29">
      <c r="A26" s="709" t="s">
        <v>94</v>
      </c>
      <c r="B26" s="709"/>
      <c r="C26" s="711">
        <v>36</v>
      </c>
      <c r="D26" s="711">
        <v>23</v>
      </c>
      <c r="E26" s="711">
        <v>59</v>
      </c>
      <c r="F26" s="711">
        <v>18</v>
      </c>
      <c r="G26" s="711">
        <v>12</v>
      </c>
      <c r="H26" s="711">
        <v>30</v>
      </c>
      <c r="I26" s="711">
        <v>29</v>
      </c>
      <c r="J26" s="711">
        <v>5</v>
      </c>
      <c r="K26" s="711">
        <v>34</v>
      </c>
      <c r="L26" s="711">
        <v>17</v>
      </c>
      <c r="M26" s="711">
        <v>6</v>
      </c>
      <c r="N26" s="711">
        <v>23</v>
      </c>
      <c r="O26" s="711">
        <v>12</v>
      </c>
      <c r="P26" s="711">
        <v>3</v>
      </c>
      <c r="Q26" s="711">
        <v>15</v>
      </c>
      <c r="R26" s="711">
        <v>25</v>
      </c>
      <c r="S26" s="711">
        <v>15</v>
      </c>
      <c r="T26" s="711">
        <v>40</v>
      </c>
      <c r="U26" s="711">
        <v>18</v>
      </c>
      <c r="V26" s="711">
        <v>12</v>
      </c>
      <c r="W26" s="711">
        <v>30</v>
      </c>
      <c r="X26" s="711">
        <v>18</v>
      </c>
      <c r="Y26" s="711">
        <v>12</v>
      </c>
      <c r="Z26" s="711">
        <v>30</v>
      </c>
      <c r="AA26" s="711"/>
      <c r="AB26" s="711"/>
      <c r="AC26" s="711">
        <v>261</v>
      </c>
    </row>
    <row r="27" spans="1:29">
      <c r="A27" s="709" t="s">
        <v>88</v>
      </c>
      <c r="C27" s="711">
        <v>49</v>
      </c>
      <c r="D27" s="711">
        <v>34</v>
      </c>
      <c r="E27" s="711">
        <v>83</v>
      </c>
      <c r="F27" s="711">
        <v>28</v>
      </c>
      <c r="G27" s="711">
        <v>18</v>
      </c>
      <c r="H27" s="711">
        <v>46</v>
      </c>
      <c r="I27" s="711">
        <v>42</v>
      </c>
      <c r="J27" s="711">
        <v>8</v>
      </c>
      <c r="K27" s="711">
        <v>50</v>
      </c>
      <c r="L27" s="711">
        <v>23</v>
      </c>
      <c r="M27" s="711">
        <v>8</v>
      </c>
      <c r="N27" s="711">
        <v>31</v>
      </c>
      <c r="O27" s="711">
        <v>16</v>
      </c>
      <c r="P27" s="711">
        <v>4</v>
      </c>
      <c r="Q27" s="711">
        <v>20</v>
      </c>
      <c r="R27" s="711">
        <v>34</v>
      </c>
      <c r="S27" s="711">
        <v>24</v>
      </c>
      <c r="T27" s="711">
        <v>58</v>
      </c>
      <c r="U27" s="711">
        <v>28</v>
      </c>
      <c r="V27" s="711">
        <v>18</v>
      </c>
      <c r="W27" s="711">
        <v>46</v>
      </c>
      <c r="X27" s="711">
        <v>28</v>
      </c>
      <c r="Y27" s="711">
        <v>18</v>
      </c>
      <c r="Z27" s="711">
        <v>46</v>
      </c>
      <c r="AA27" s="711"/>
      <c r="AB27" s="711"/>
      <c r="AC27" s="711">
        <v>380</v>
      </c>
    </row>
    <row r="28" spans="1:29">
      <c r="AC28" s="1"/>
    </row>
    <row r="29" spans="1:29">
      <c r="AC29" s="1"/>
    </row>
    <row r="30" spans="1:29">
      <c r="AC30" s="1"/>
    </row>
    <row r="31" spans="1:29">
      <c r="AC31" s="1"/>
    </row>
    <row r="32" spans="1:2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D34"/>
  <sheetViews>
    <sheetView zoomScale="80" zoomScaleNormal="80" workbookViewId="0">
      <selection activeCell="B25" sqref="B25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5" width="15.85546875" customWidth="1"/>
    <col min="6" max="6" width="11.7109375" customWidth="1"/>
    <col min="7" max="8" width="8.28515625" customWidth="1"/>
    <col min="9" max="9" width="11.7109375" customWidth="1"/>
    <col min="10" max="10" width="13" bestFit="1" customWidth="1"/>
    <col min="11" max="11" width="13" customWidth="1"/>
    <col min="12" max="12" width="16.5703125" customWidth="1"/>
    <col min="13" max="13" width="13.42578125" bestFit="1" customWidth="1"/>
    <col min="14" max="14" width="13.42578125" customWidth="1"/>
    <col min="15" max="15" width="17" customWidth="1"/>
    <col min="16" max="16" width="15.42578125" bestFit="1" customWidth="1"/>
    <col min="17" max="17" width="15.42578125" customWidth="1"/>
    <col min="18" max="18" width="18.85546875" customWidth="1"/>
    <col min="19" max="20" width="6.140625" customWidth="1"/>
    <col min="21" max="21" width="9.5703125" customWidth="1"/>
    <col min="22" max="22" width="14.28515625" bestFit="1" customWidth="1"/>
    <col min="23" max="23" width="14.28515625" customWidth="1"/>
    <col min="24" max="24" width="17.85546875" customWidth="1"/>
    <col min="25" max="25" width="11" bestFit="1" customWidth="1"/>
    <col min="26" max="26" width="11" customWidth="1"/>
    <col min="27" max="27" width="14.42578125" customWidth="1"/>
    <col min="28" max="28" width="9.140625" customWidth="1"/>
    <col min="29" max="29" width="12.42578125" bestFit="1" customWidth="1"/>
    <col min="30" max="30" width="11.5703125" bestFit="1" customWidth="1"/>
  </cols>
  <sheetData>
    <row r="1" spans="1:30">
      <c r="A1" s="288"/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</row>
    <row r="2" spans="1:30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</row>
    <row r="3" spans="1:30"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</row>
    <row r="4" spans="1:30">
      <c r="A4" s="710" t="s">
        <v>1</v>
      </c>
      <c r="B4" s="709" t="s">
        <v>15</v>
      </c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</row>
    <row r="5" spans="1:30">
      <c r="A5" s="710" t="s">
        <v>89</v>
      </c>
      <c r="B5" s="709" t="s">
        <v>90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</row>
    <row r="6" spans="1:30">
      <c r="A6" s="288"/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</row>
    <row r="7" spans="1:30">
      <c r="A7" s="710" t="s">
        <v>109</v>
      </c>
      <c r="D7" s="710" t="s">
        <v>106</v>
      </c>
      <c r="E7" s="710" t="s">
        <v>3</v>
      </c>
    </row>
    <row r="8" spans="1:30">
      <c r="D8" s="709" t="s">
        <v>21</v>
      </c>
      <c r="F8" s="709" t="s">
        <v>95</v>
      </c>
      <c r="G8" s="709" t="s">
        <v>18</v>
      </c>
      <c r="I8" s="709" t="s">
        <v>96</v>
      </c>
      <c r="J8" s="709" t="s">
        <v>20</v>
      </c>
      <c r="L8" s="709" t="s">
        <v>97</v>
      </c>
      <c r="M8" s="709" t="s">
        <v>17</v>
      </c>
      <c r="O8" s="709" t="s">
        <v>98</v>
      </c>
      <c r="P8" s="709" t="s">
        <v>24</v>
      </c>
      <c r="R8" s="709" t="s">
        <v>99</v>
      </c>
      <c r="S8" s="709" t="s">
        <v>5</v>
      </c>
      <c r="U8" s="709" t="s">
        <v>100</v>
      </c>
      <c r="V8" s="709" t="s">
        <v>9</v>
      </c>
      <c r="X8" s="709" t="s">
        <v>101</v>
      </c>
      <c r="Y8" s="709" t="s">
        <v>8</v>
      </c>
      <c r="AA8" s="709" t="s">
        <v>102</v>
      </c>
      <c r="AB8" s="709" t="s">
        <v>244</v>
      </c>
      <c r="AC8" s="709" t="s">
        <v>245</v>
      </c>
      <c r="AD8" s="709" t="s">
        <v>88</v>
      </c>
    </row>
    <row r="9" spans="1:30">
      <c r="A9" s="710" t="s">
        <v>105</v>
      </c>
      <c r="B9" s="710" t="s">
        <v>108</v>
      </c>
      <c r="C9" s="710" t="s">
        <v>0</v>
      </c>
      <c r="D9" s="718" t="s">
        <v>91</v>
      </c>
      <c r="E9" s="718" t="s">
        <v>92</v>
      </c>
      <c r="G9" s="718" t="s">
        <v>91</v>
      </c>
      <c r="H9" s="718" t="s">
        <v>92</v>
      </c>
      <c r="J9" s="718" t="s">
        <v>91</v>
      </c>
      <c r="K9" s="718" t="s">
        <v>92</v>
      </c>
      <c r="M9" s="718" t="s">
        <v>91</v>
      </c>
      <c r="N9" s="718" t="s">
        <v>92</v>
      </c>
      <c r="P9" s="718" t="s">
        <v>91</v>
      </c>
      <c r="Q9" s="718" t="s">
        <v>92</v>
      </c>
      <c r="S9" s="718" t="s">
        <v>91</v>
      </c>
      <c r="T9" s="718" t="s">
        <v>92</v>
      </c>
      <c r="V9" s="718" t="s">
        <v>91</v>
      </c>
      <c r="W9" s="718" t="s">
        <v>92</v>
      </c>
      <c r="Y9" s="718" t="s">
        <v>91</v>
      </c>
      <c r="Z9" s="718" t="s">
        <v>92</v>
      </c>
      <c r="AB9" s="718" t="s">
        <v>91</v>
      </c>
    </row>
    <row r="10" spans="1:30">
      <c r="A10" s="709">
        <v>1</v>
      </c>
      <c r="B10" s="709" t="s">
        <v>16</v>
      </c>
      <c r="C10" s="709" t="s">
        <v>13</v>
      </c>
      <c r="D10" s="711">
        <v>2</v>
      </c>
      <c r="E10" s="711"/>
      <c r="F10" s="711">
        <v>2</v>
      </c>
      <c r="G10" s="711">
        <v>1</v>
      </c>
      <c r="H10" s="711">
        <v>1</v>
      </c>
      <c r="I10" s="711">
        <v>2</v>
      </c>
      <c r="J10" s="711">
        <v>2</v>
      </c>
      <c r="K10" s="711"/>
      <c r="L10" s="711">
        <v>2</v>
      </c>
      <c r="M10" s="711">
        <v>1</v>
      </c>
      <c r="N10" s="711"/>
      <c r="O10" s="711">
        <v>1</v>
      </c>
      <c r="P10" s="711">
        <v>4</v>
      </c>
      <c r="Q10" s="711"/>
      <c r="R10" s="711">
        <v>4</v>
      </c>
      <c r="S10" s="711"/>
      <c r="T10" s="711"/>
      <c r="U10" s="711"/>
      <c r="V10" s="711">
        <v>1</v>
      </c>
      <c r="W10" s="711">
        <v>1</v>
      </c>
      <c r="X10" s="711">
        <v>2</v>
      </c>
      <c r="Y10" s="711">
        <v>1</v>
      </c>
      <c r="Z10" s="711">
        <v>1</v>
      </c>
      <c r="AA10" s="711">
        <v>2</v>
      </c>
      <c r="AB10" s="711"/>
      <c r="AC10" s="711"/>
      <c r="AD10" s="711">
        <v>15</v>
      </c>
    </row>
    <row r="11" spans="1:30">
      <c r="C11" s="709" t="s">
        <v>26</v>
      </c>
      <c r="D11" s="711">
        <v>5</v>
      </c>
      <c r="E11" s="711">
        <v>2</v>
      </c>
      <c r="F11" s="711">
        <v>7</v>
      </c>
      <c r="G11" s="711"/>
      <c r="H11" s="711">
        <v>1</v>
      </c>
      <c r="I11" s="711">
        <v>1</v>
      </c>
      <c r="J11" s="711">
        <v>2</v>
      </c>
      <c r="K11" s="711"/>
      <c r="L11" s="711">
        <v>2</v>
      </c>
      <c r="M11" s="711"/>
      <c r="N11" s="711"/>
      <c r="O11" s="711"/>
      <c r="P11" s="711"/>
      <c r="Q11" s="711"/>
      <c r="R11" s="711"/>
      <c r="S11" s="711">
        <v>4</v>
      </c>
      <c r="T11" s="711"/>
      <c r="U11" s="711">
        <v>4</v>
      </c>
      <c r="V11" s="711"/>
      <c r="W11" s="711">
        <v>1</v>
      </c>
      <c r="X11" s="711">
        <v>1</v>
      </c>
      <c r="Y11" s="711"/>
      <c r="Z11" s="711">
        <v>1</v>
      </c>
      <c r="AA11" s="711">
        <v>1</v>
      </c>
      <c r="AB11" s="711"/>
      <c r="AC11" s="711"/>
      <c r="AD11" s="711">
        <v>16</v>
      </c>
    </row>
    <row r="12" spans="1:30">
      <c r="C12" s="709" t="s">
        <v>33</v>
      </c>
      <c r="D12" s="711">
        <v>1</v>
      </c>
      <c r="E12" s="711"/>
      <c r="F12" s="711">
        <v>1</v>
      </c>
      <c r="G12" s="711">
        <v>1</v>
      </c>
      <c r="H12" s="711"/>
      <c r="I12" s="711">
        <v>1</v>
      </c>
      <c r="J12" s="711">
        <v>2</v>
      </c>
      <c r="K12" s="711"/>
      <c r="L12" s="711">
        <v>2</v>
      </c>
      <c r="M12" s="711">
        <v>1</v>
      </c>
      <c r="N12" s="711"/>
      <c r="O12" s="711">
        <v>1</v>
      </c>
      <c r="P12" s="711"/>
      <c r="Q12" s="711"/>
      <c r="R12" s="711"/>
      <c r="S12" s="711">
        <v>1</v>
      </c>
      <c r="T12" s="711"/>
      <c r="U12" s="711">
        <v>1</v>
      </c>
      <c r="V12" s="711">
        <v>1</v>
      </c>
      <c r="W12" s="711"/>
      <c r="X12" s="711">
        <v>1</v>
      </c>
      <c r="Y12" s="711">
        <v>1</v>
      </c>
      <c r="Z12" s="711"/>
      <c r="AA12" s="711">
        <v>1</v>
      </c>
      <c r="AB12" s="711"/>
      <c r="AC12" s="711"/>
      <c r="AD12" s="711">
        <v>8</v>
      </c>
    </row>
    <row r="13" spans="1:30">
      <c r="C13" s="709" t="s">
        <v>38</v>
      </c>
      <c r="D13" s="711"/>
      <c r="E13" s="711">
        <v>1</v>
      </c>
      <c r="F13" s="711">
        <v>1</v>
      </c>
      <c r="G13" s="711"/>
      <c r="H13" s="711"/>
      <c r="I13" s="711"/>
      <c r="J13" s="711"/>
      <c r="K13" s="711"/>
      <c r="L13" s="711"/>
      <c r="M13" s="711"/>
      <c r="N13" s="711"/>
      <c r="O13" s="711"/>
      <c r="P13" s="711"/>
      <c r="Q13" s="711">
        <v>1</v>
      </c>
      <c r="R13" s="711">
        <v>1</v>
      </c>
      <c r="S13" s="711">
        <v>1</v>
      </c>
      <c r="T13" s="711">
        <v>1</v>
      </c>
      <c r="U13" s="711">
        <v>2</v>
      </c>
      <c r="V13" s="711"/>
      <c r="W13" s="711"/>
      <c r="X13" s="711"/>
      <c r="Y13" s="711"/>
      <c r="Z13" s="711"/>
      <c r="AA13" s="711"/>
      <c r="AB13" s="711"/>
      <c r="AC13" s="711"/>
      <c r="AD13" s="711">
        <v>4</v>
      </c>
    </row>
    <row r="14" spans="1:30">
      <c r="C14" s="709" t="s">
        <v>42</v>
      </c>
      <c r="D14" s="711">
        <v>2</v>
      </c>
      <c r="E14" s="711">
        <v>7</v>
      </c>
      <c r="F14" s="711">
        <v>9</v>
      </c>
      <c r="G14" s="711">
        <v>6</v>
      </c>
      <c r="H14" s="711">
        <v>3</v>
      </c>
      <c r="I14" s="711">
        <v>9</v>
      </c>
      <c r="J14" s="711">
        <v>5</v>
      </c>
      <c r="K14" s="711">
        <v>2</v>
      </c>
      <c r="L14" s="711">
        <v>7</v>
      </c>
      <c r="M14" s="711">
        <v>1</v>
      </c>
      <c r="N14" s="711"/>
      <c r="O14" s="711">
        <v>1</v>
      </c>
      <c r="P14" s="711"/>
      <c r="Q14" s="711"/>
      <c r="R14" s="711"/>
      <c r="S14" s="711">
        <v>2</v>
      </c>
      <c r="T14" s="711">
        <v>8</v>
      </c>
      <c r="U14" s="711">
        <v>10</v>
      </c>
      <c r="V14" s="711">
        <v>6</v>
      </c>
      <c r="W14" s="711">
        <v>3</v>
      </c>
      <c r="X14" s="711">
        <v>9</v>
      </c>
      <c r="Y14" s="711">
        <v>6</v>
      </c>
      <c r="Z14" s="711">
        <v>3</v>
      </c>
      <c r="AA14" s="711">
        <v>9</v>
      </c>
      <c r="AB14" s="711"/>
      <c r="AC14" s="711"/>
      <c r="AD14" s="711">
        <v>54</v>
      </c>
    </row>
    <row r="15" spans="1:30">
      <c r="B15" s="709" t="s">
        <v>110</v>
      </c>
      <c r="C15" s="709"/>
      <c r="D15" s="711">
        <v>10</v>
      </c>
      <c r="E15" s="711">
        <v>10</v>
      </c>
      <c r="F15" s="711">
        <v>20</v>
      </c>
      <c r="G15" s="711">
        <v>8</v>
      </c>
      <c r="H15" s="711">
        <v>5</v>
      </c>
      <c r="I15" s="711">
        <v>13</v>
      </c>
      <c r="J15" s="711">
        <v>11</v>
      </c>
      <c r="K15" s="711">
        <v>2</v>
      </c>
      <c r="L15" s="711">
        <v>13</v>
      </c>
      <c r="M15" s="711">
        <v>3</v>
      </c>
      <c r="N15" s="711"/>
      <c r="O15" s="711">
        <v>3</v>
      </c>
      <c r="P15" s="711">
        <v>4</v>
      </c>
      <c r="Q15" s="711">
        <v>1</v>
      </c>
      <c r="R15" s="711">
        <v>5</v>
      </c>
      <c r="S15" s="711">
        <v>8</v>
      </c>
      <c r="T15" s="711">
        <v>9</v>
      </c>
      <c r="U15" s="711">
        <v>17</v>
      </c>
      <c r="V15" s="711">
        <v>8</v>
      </c>
      <c r="W15" s="711">
        <v>5</v>
      </c>
      <c r="X15" s="711">
        <v>13</v>
      </c>
      <c r="Y15" s="711">
        <v>8</v>
      </c>
      <c r="Z15" s="711">
        <v>5</v>
      </c>
      <c r="AA15" s="711">
        <v>13</v>
      </c>
      <c r="AB15" s="711"/>
      <c r="AC15" s="711"/>
      <c r="AD15" s="711">
        <v>97</v>
      </c>
    </row>
    <row r="16" spans="1:30">
      <c r="B16" s="709" t="s">
        <v>19</v>
      </c>
      <c r="C16" s="709" t="s">
        <v>13</v>
      </c>
      <c r="D16" s="711"/>
      <c r="E16" s="711"/>
      <c r="F16" s="711"/>
      <c r="G16" s="711">
        <v>1</v>
      </c>
      <c r="H16" s="711"/>
      <c r="I16" s="711">
        <v>1</v>
      </c>
      <c r="J16" s="711">
        <v>2</v>
      </c>
      <c r="K16" s="711"/>
      <c r="L16" s="711">
        <v>2</v>
      </c>
      <c r="M16" s="711"/>
      <c r="N16" s="711">
        <v>1</v>
      </c>
      <c r="O16" s="711">
        <v>1</v>
      </c>
      <c r="P16" s="711"/>
      <c r="Q16" s="711"/>
      <c r="R16" s="711"/>
      <c r="S16" s="711"/>
      <c r="T16" s="711"/>
      <c r="U16" s="711"/>
      <c r="V16" s="711">
        <v>1</v>
      </c>
      <c r="W16" s="711"/>
      <c r="X16" s="711">
        <v>1</v>
      </c>
      <c r="Y16" s="711">
        <v>1</v>
      </c>
      <c r="Z16" s="711"/>
      <c r="AA16" s="711">
        <v>1</v>
      </c>
      <c r="AB16" s="711"/>
      <c r="AC16" s="711"/>
      <c r="AD16" s="711">
        <v>6</v>
      </c>
    </row>
    <row r="17" spans="1:30">
      <c r="C17" s="709" t="s">
        <v>26</v>
      </c>
      <c r="D17" s="711">
        <v>2</v>
      </c>
      <c r="E17" s="711"/>
      <c r="F17" s="711">
        <v>2</v>
      </c>
      <c r="G17" s="711"/>
      <c r="H17" s="711"/>
      <c r="I17" s="711"/>
      <c r="J17" s="711"/>
      <c r="K17" s="711"/>
      <c r="L17" s="711"/>
      <c r="M17" s="711"/>
      <c r="N17" s="711"/>
      <c r="O17" s="711"/>
      <c r="P17" s="711"/>
      <c r="Q17" s="711"/>
      <c r="R17" s="711"/>
      <c r="S17" s="711"/>
      <c r="T17" s="711"/>
      <c r="U17" s="711"/>
      <c r="V17" s="711"/>
      <c r="W17" s="711"/>
      <c r="X17" s="711"/>
      <c r="Y17" s="711"/>
      <c r="Z17" s="711"/>
      <c r="AA17" s="711"/>
      <c r="AB17" s="711"/>
      <c r="AC17" s="711"/>
      <c r="AD17" s="711">
        <v>2</v>
      </c>
    </row>
    <row r="18" spans="1:30">
      <c r="C18" s="709" t="s">
        <v>33</v>
      </c>
      <c r="D18" s="711">
        <v>1</v>
      </c>
      <c r="E18" s="711">
        <v>1</v>
      </c>
      <c r="F18" s="711">
        <v>2</v>
      </c>
      <c r="G18" s="711"/>
      <c r="H18" s="711"/>
      <c r="I18" s="711"/>
      <c r="J18" s="711"/>
      <c r="K18" s="711"/>
      <c r="L18" s="711"/>
      <c r="M18" s="711">
        <v>1</v>
      </c>
      <c r="N18" s="711"/>
      <c r="O18" s="711">
        <v>1</v>
      </c>
      <c r="P18" s="711"/>
      <c r="Q18" s="711"/>
      <c r="R18" s="711"/>
      <c r="S18" s="711">
        <v>1</v>
      </c>
      <c r="T18" s="711"/>
      <c r="U18" s="711">
        <v>1</v>
      </c>
      <c r="V18" s="711"/>
      <c r="W18" s="711"/>
      <c r="X18" s="711"/>
      <c r="Y18" s="711"/>
      <c r="Z18" s="711"/>
      <c r="AA18" s="711"/>
      <c r="AB18" s="711"/>
      <c r="AC18" s="711"/>
      <c r="AD18" s="711">
        <v>4</v>
      </c>
    </row>
    <row r="19" spans="1:30">
      <c r="C19" s="709" t="s">
        <v>38</v>
      </c>
      <c r="D19" s="711"/>
      <c r="E19" s="711"/>
      <c r="F19" s="711"/>
      <c r="G19" s="711">
        <v>1</v>
      </c>
      <c r="H19" s="711">
        <v>1</v>
      </c>
      <c r="I19" s="711">
        <v>2</v>
      </c>
      <c r="J19" s="711"/>
      <c r="K19" s="711">
        <v>1</v>
      </c>
      <c r="L19" s="711">
        <v>1</v>
      </c>
      <c r="M19" s="711">
        <v>2</v>
      </c>
      <c r="N19" s="711">
        <v>1</v>
      </c>
      <c r="O19" s="711">
        <v>3</v>
      </c>
      <c r="P19" s="711"/>
      <c r="Q19" s="711"/>
      <c r="R19" s="711"/>
      <c r="S19" s="711"/>
      <c r="T19" s="711"/>
      <c r="U19" s="711"/>
      <c r="V19" s="711">
        <v>1</v>
      </c>
      <c r="W19" s="711">
        <v>1</v>
      </c>
      <c r="X19" s="711">
        <v>2</v>
      </c>
      <c r="Y19" s="711">
        <v>1</v>
      </c>
      <c r="Z19" s="711">
        <v>1</v>
      </c>
      <c r="AA19" s="711">
        <v>2</v>
      </c>
      <c r="AB19" s="711"/>
      <c r="AC19" s="711"/>
      <c r="AD19" s="711">
        <v>10</v>
      </c>
    </row>
    <row r="20" spans="1:30">
      <c r="B20" s="709" t="s">
        <v>111</v>
      </c>
      <c r="C20" s="709"/>
      <c r="D20" s="711">
        <v>3</v>
      </c>
      <c r="E20" s="711">
        <v>1</v>
      </c>
      <c r="F20" s="711">
        <v>4</v>
      </c>
      <c r="G20" s="711">
        <v>2</v>
      </c>
      <c r="H20" s="711">
        <v>1</v>
      </c>
      <c r="I20" s="711">
        <v>3</v>
      </c>
      <c r="J20" s="711">
        <v>2</v>
      </c>
      <c r="K20" s="711">
        <v>1</v>
      </c>
      <c r="L20" s="711">
        <v>3</v>
      </c>
      <c r="M20" s="711">
        <v>3</v>
      </c>
      <c r="N20" s="711">
        <v>2</v>
      </c>
      <c r="O20" s="711">
        <v>5</v>
      </c>
      <c r="P20" s="711"/>
      <c r="Q20" s="711"/>
      <c r="R20" s="711"/>
      <c r="S20" s="711">
        <v>1</v>
      </c>
      <c r="T20" s="711"/>
      <c r="U20" s="711">
        <v>1</v>
      </c>
      <c r="V20" s="711">
        <v>2</v>
      </c>
      <c r="W20" s="711">
        <v>1</v>
      </c>
      <c r="X20" s="711">
        <v>3</v>
      </c>
      <c r="Y20" s="711">
        <v>2</v>
      </c>
      <c r="Z20" s="711">
        <v>1</v>
      </c>
      <c r="AA20" s="711">
        <v>3</v>
      </c>
      <c r="AB20" s="711"/>
      <c r="AC20" s="711"/>
      <c r="AD20" s="711">
        <v>22</v>
      </c>
    </row>
    <row r="21" spans="1:30">
      <c r="A21" s="709" t="s">
        <v>93</v>
      </c>
      <c r="B21" s="709"/>
      <c r="C21" s="709"/>
      <c r="D21" s="711">
        <v>13</v>
      </c>
      <c r="E21" s="711">
        <v>11</v>
      </c>
      <c r="F21" s="711">
        <v>24</v>
      </c>
      <c r="G21" s="711">
        <v>10</v>
      </c>
      <c r="H21" s="711">
        <v>6</v>
      </c>
      <c r="I21" s="711">
        <v>16</v>
      </c>
      <c r="J21" s="711">
        <v>13</v>
      </c>
      <c r="K21" s="711">
        <v>3</v>
      </c>
      <c r="L21" s="711">
        <v>16</v>
      </c>
      <c r="M21" s="711">
        <v>6</v>
      </c>
      <c r="N21" s="711">
        <v>2</v>
      </c>
      <c r="O21" s="711">
        <v>8</v>
      </c>
      <c r="P21" s="711">
        <v>4</v>
      </c>
      <c r="Q21" s="711">
        <v>1</v>
      </c>
      <c r="R21" s="711">
        <v>5</v>
      </c>
      <c r="S21" s="711">
        <v>9</v>
      </c>
      <c r="T21" s="711">
        <v>9</v>
      </c>
      <c r="U21" s="711">
        <v>18</v>
      </c>
      <c r="V21" s="711">
        <v>10</v>
      </c>
      <c r="W21" s="711">
        <v>6</v>
      </c>
      <c r="X21" s="711">
        <v>16</v>
      </c>
      <c r="Y21" s="711">
        <v>10</v>
      </c>
      <c r="Z21" s="711">
        <v>6</v>
      </c>
      <c r="AA21" s="711">
        <v>16</v>
      </c>
      <c r="AB21" s="711"/>
      <c r="AC21" s="711"/>
      <c r="AD21" s="711">
        <v>119</v>
      </c>
    </row>
    <row r="22" spans="1:30">
      <c r="A22" s="709">
        <v>2</v>
      </c>
      <c r="B22" s="709" t="s">
        <v>16</v>
      </c>
      <c r="C22" s="709" t="s">
        <v>13</v>
      </c>
      <c r="D22" s="711">
        <v>6</v>
      </c>
      <c r="E22" s="711"/>
      <c r="F22" s="711">
        <v>6</v>
      </c>
      <c r="G22" s="711">
        <v>1</v>
      </c>
      <c r="H22" s="711">
        <v>3</v>
      </c>
      <c r="I22" s="711">
        <v>4</v>
      </c>
      <c r="J22" s="711">
        <v>4</v>
      </c>
      <c r="K22" s="711"/>
      <c r="L22" s="711">
        <v>4</v>
      </c>
      <c r="M22" s="711">
        <v>3</v>
      </c>
      <c r="N22" s="711"/>
      <c r="O22" s="711">
        <v>3</v>
      </c>
      <c r="P22" s="711">
        <v>12</v>
      </c>
      <c r="Q22" s="711"/>
      <c r="R22" s="711">
        <v>12</v>
      </c>
      <c r="S22" s="711"/>
      <c r="T22" s="711"/>
      <c r="U22" s="711"/>
      <c r="V22" s="711">
        <v>1</v>
      </c>
      <c r="W22" s="711">
        <v>3</v>
      </c>
      <c r="X22" s="711">
        <v>4</v>
      </c>
      <c r="Y22" s="711">
        <v>1</v>
      </c>
      <c r="Z22" s="711">
        <v>3</v>
      </c>
      <c r="AA22" s="711">
        <v>4</v>
      </c>
      <c r="AB22" s="711"/>
      <c r="AC22" s="711"/>
      <c r="AD22" s="711">
        <v>37</v>
      </c>
    </row>
    <row r="23" spans="1:30">
      <c r="C23" s="709" t="s">
        <v>26</v>
      </c>
      <c r="D23" s="711">
        <v>15</v>
      </c>
      <c r="E23" s="711">
        <v>6</v>
      </c>
      <c r="F23" s="711">
        <v>21</v>
      </c>
      <c r="G23" s="711"/>
      <c r="H23" s="711">
        <v>3</v>
      </c>
      <c r="I23" s="711">
        <v>3</v>
      </c>
      <c r="J23" s="711">
        <v>6</v>
      </c>
      <c r="K23" s="711"/>
      <c r="L23" s="711">
        <v>6</v>
      </c>
      <c r="M23" s="711"/>
      <c r="N23" s="711"/>
      <c r="O23" s="711"/>
      <c r="P23" s="711"/>
      <c r="Q23" s="711"/>
      <c r="R23" s="711"/>
      <c r="S23" s="711">
        <v>12</v>
      </c>
      <c r="T23" s="711"/>
      <c r="U23" s="711">
        <v>12</v>
      </c>
      <c r="V23" s="711"/>
      <c r="W23" s="711">
        <v>3</v>
      </c>
      <c r="X23" s="711">
        <v>3</v>
      </c>
      <c r="Y23" s="711"/>
      <c r="Z23" s="711">
        <v>3</v>
      </c>
      <c r="AA23" s="711">
        <v>3</v>
      </c>
      <c r="AB23" s="711"/>
      <c r="AC23" s="711"/>
      <c r="AD23" s="711">
        <v>48</v>
      </c>
    </row>
    <row r="24" spans="1:30">
      <c r="C24" s="709" t="s">
        <v>33</v>
      </c>
      <c r="D24" s="711">
        <v>3</v>
      </c>
      <c r="E24" s="711"/>
      <c r="F24" s="711">
        <v>3</v>
      </c>
      <c r="G24" s="711">
        <v>3</v>
      </c>
      <c r="H24" s="711"/>
      <c r="I24" s="711">
        <v>3</v>
      </c>
      <c r="J24" s="711">
        <v>6</v>
      </c>
      <c r="K24" s="711"/>
      <c r="L24" s="711">
        <v>6</v>
      </c>
      <c r="M24" s="711">
        <v>3</v>
      </c>
      <c r="N24" s="711"/>
      <c r="O24" s="711">
        <v>3</v>
      </c>
      <c r="P24" s="711"/>
      <c r="Q24" s="711"/>
      <c r="R24" s="711"/>
      <c r="S24" s="711">
        <v>3</v>
      </c>
      <c r="T24" s="711"/>
      <c r="U24" s="711">
        <v>3</v>
      </c>
      <c r="V24" s="711">
        <v>3</v>
      </c>
      <c r="W24" s="711"/>
      <c r="X24" s="711">
        <v>3</v>
      </c>
      <c r="Y24" s="711">
        <v>3</v>
      </c>
      <c r="Z24" s="711"/>
      <c r="AA24" s="711">
        <v>3</v>
      </c>
      <c r="AB24" s="711"/>
      <c r="AC24" s="711"/>
      <c r="AD24" s="711">
        <v>24</v>
      </c>
    </row>
    <row r="25" spans="1:30">
      <c r="C25" s="709" t="s">
        <v>38</v>
      </c>
      <c r="D25" s="711"/>
      <c r="E25" s="711">
        <v>3</v>
      </c>
      <c r="F25" s="711">
        <v>3</v>
      </c>
      <c r="G25" s="711"/>
      <c r="H25" s="711"/>
      <c r="I25" s="711"/>
      <c r="J25" s="711"/>
      <c r="K25" s="711"/>
      <c r="L25" s="711"/>
      <c r="M25" s="711"/>
      <c r="N25" s="711"/>
      <c r="O25" s="711"/>
      <c r="P25" s="711"/>
      <c r="Q25" s="711">
        <v>3</v>
      </c>
      <c r="R25" s="711">
        <v>3</v>
      </c>
      <c r="S25" s="711">
        <v>3</v>
      </c>
      <c r="T25" s="711">
        <v>3</v>
      </c>
      <c r="U25" s="711">
        <v>6</v>
      </c>
      <c r="V25" s="711"/>
      <c r="W25" s="711"/>
      <c r="X25" s="711"/>
      <c r="Y25" s="711"/>
      <c r="Z25" s="711"/>
      <c r="AA25" s="711"/>
      <c r="AB25" s="711"/>
      <c r="AC25" s="711"/>
      <c r="AD25" s="711">
        <v>12</v>
      </c>
    </row>
    <row r="26" spans="1:30">
      <c r="C26" s="709" t="s">
        <v>42</v>
      </c>
      <c r="D26" s="711">
        <v>3</v>
      </c>
      <c r="E26" s="711">
        <v>11</v>
      </c>
      <c r="F26" s="711">
        <v>14</v>
      </c>
      <c r="G26" s="711">
        <v>8</v>
      </c>
      <c r="H26" s="711">
        <v>3</v>
      </c>
      <c r="I26" s="711">
        <v>11</v>
      </c>
      <c r="J26" s="711">
        <v>7</v>
      </c>
      <c r="K26" s="711">
        <v>2</v>
      </c>
      <c r="L26" s="711">
        <v>9</v>
      </c>
      <c r="M26" s="711">
        <v>2</v>
      </c>
      <c r="N26" s="711"/>
      <c r="O26" s="711">
        <v>2</v>
      </c>
      <c r="P26" s="711"/>
      <c r="Q26" s="711"/>
      <c r="R26" s="711"/>
      <c r="S26" s="711">
        <v>4</v>
      </c>
      <c r="T26" s="711">
        <v>12</v>
      </c>
      <c r="U26" s="711">
        <v>16</v>
      </c>
      <c r="V26" s="711">
        <v>8</v>
      </c>
      <c r="W26" s="711">
        <v>3</v>
      </c>
      <c r="X26" s="711">
        <v>11</v>
      </c>
      <c r="Y26" s="711">
        <v>8</v>
      </c>
      <c r="Z26" s="711">
        <v>3</v>
      </c>
      <c r="AA26" s="711">
        <v>11</v>
      </c>
      <c r="AB26" s="711"/>
      <c r="AC26" s="711"/>
      <c r="AD26" s="711">
        <v>74</v>
      </c>
    </row>
    <row r="27" spans="1:30">
      <c r="B27" s="709" t="s">
        <v>110</v>
      </c>
      <c r="C27" s="709"/>
      <c r="D27" s="711">
        <v>27</v>
      </c>
      <c r="E27" s="711">
        <v>20</v>
      </c>
      <c r="F27" s="711">
        <v>47</v>
      </c>
      <c r="G27" s="711">
        <v>12</v>
      </c>
      <c r="H27" s="711">
        <v>9</v>
      </c>
      <c r="I27" s="711">
        <v>21</v>
      </c>
      <c r="J27" s="711">
        <v>23</v>
      </c>
      <c r="K27" s="711">
        <v>2</v>
      </c>
      <c r="L27" s="711">
        <v>25</v>
      </c>
      <c r="M27" s="711">
        <v>8</v>
      </c>
      <c r="N27" s="711"/>
      <c r="O27" s="711">
        <v>8</v>
      </c>
      <c r="P27" s="711">
        <v>12</v>
      </c>
      <c r="Q27" s="711">
        <v>3</v>
      </c>
      <c r="R27" s="711">
        <v>15</v>
      </c>
      <c r="S27" s="711">
        <v>22</v>
      </c>
      <c r="T27" s="711">
        <v>15</v>
      </c>
      <c r="U27" s="711">
        <v>37</v>
      </c>
      <c r="V27" s="711">
        <v>12</v>
      </c>
      <c r="W27" s="711">
        <v>9</v>
      </c>
      <c r="X27" s="711">
        <v>21</v>
      </c>
      <c r="Y27" s="711">
        <v>12</v>
      </c>
      <c r="Z27" s="711">
        <v>9</v>
      </c>
      <c r="AA27" s="711">
        <v>21</v>
      </c>
      <c r="AB27" s="711"/>
      <c r="AC27" s="711"/>
      <c r="AD27" s="711">
        <v>195</v>
      </c>
    </row>
    <row r="28" spans="1:30">
      <c r="B28" s="709" t="s">
        <v>19</v>
      </c>
      <c r="C28" s="709" t="s">
        <v>13</v>
      </c>
      <c r="D28" s="711"/>
      <c r="E28" s="711"/>
      <c r="F28" s="711"/>
      <c r="G28" s="711">
        <v>3</v>
      </c>
      <c r="H28" s="711"/>
      <c r="I28" s="711">
        <v>3</v>
      </c>
      <c r="J28" s="711">
        <v>6</v>
      </c>
      <c r="K28" s="711"/>
      <c r="L28" s="711">
        <v>6</v>
      </c>
      <c r="M28" s="711"/>
      <c r="N28" s="711">
        <v>3</v>
      </c>
      <c r="O28" s="711">
        <v>3</v>
      </c>
      <c r="P28" s="711"/>
      <c r="Q28" s="711"/>
      <c r="R28" s="711"/>
      <c r="S28" s="711"/>
      <c r="T28" s="711"/>
      <c r="U28" s="711"/>
      <c r="V28" s="711">
        <v>3</v>
      </c>
      <c r="W28" s="711"/>
      <c r="X28" s="711">
        <v>3</v>
      </c>
      <c r="Y28" s="711">
        <v>3</v>
      </c>
      <c r="Z28" s="711"/>
      <c r="AA28" s="711">
        <v>3</v>
      </c>
      <c r="AB28" s="711"/>
      <c r="AC28" s="711"/>
      <c r="AD28" s="711">
        <v>18</v>
      </c>
    </row>
    <row r="29" spans="1:30">
      <c r="C29" s="709" t="s">
        <v>26</v>
      </c>
      <c r="D29" s="711">
        <v>6</v>
      </c>
      <c r="E29" s="711"/>
      <c r="F29" s="711">
        <v>6</v>
      </c>
      <c r="G29" s="711"/>
      <c r="H29" s="711"/>
      <c r="I29" s="711"/>
      <c r="J29" s="711"/>
      <c r="K29" s="711"/>
      <c r="L29" s="711"/>
      <c r="M29" s="711"/>
      <c r="N29" s="711"/>
      <c r="O29" s="711"/>
      <c r="P29" s="711"/>
      <c r="Q29" s="711"/>
      <c r="R29" s="711"/>
      <c r="S29" s="711"/>
      <c r="T29" s="711"/>
      <c r="U29" s="711"/>
      <c r="V29" s="711"/>
      <c r="W29" s="711"/>
      <c r="X29" s="711"/>
      <c r="Y29" s="711"/>
      <c r="Z29" s="711"/>
      <c r="AA29" s="711"/>
      <c r="AB29" s="711"/>
      <c r="AC29" s="711"/>
      <c r="AD29" s="711">
        <v>6</v>
      </c>
    </row>
    <row r="30" spans="1:30">
      <c r="C30" s="709" t="s">
        <v>33</v>
      </c>
      <c r="D30" s="711">
        <v>3</v>
      </c>
      <c r="E30" s="711">
        <v>3</v>
      </c>
      <c r="F30" s="711">
        <v>6</v>
      </c>
      <c r="G30" s="711"/>
      <c r="H30" s="711"/>
      <c r="I30" s="711"/>
      <c r="J30" s="711"/>
      <c r="K30" s="711"/>
      <c r="L30" s="711"/>
      <c r="M30" s="711">
        <v>3</v>
      </c>
      <c r="N30" s="711"/>
      <c r="O30" s="711">
        <v>3</v>
      </c>
      <c r="P30" s="711"/>
      <c r="Q30" s="711"/>
      <c r="R30" s="711"/>
      <c r="S30" s="711">
        <v>3</v>
      </c>
      <c r="T30" s="711"/>
      <c r="U30" s="711">
        <v>3</v>
      </c>
      <c r="V30" s="711"/>
      <c r="W30" s="711"/>
      <c r="X30" s="711"/>
      <c r="Y30" s="711"/>
      <c r="Z30" s="711"/>
      <c r="AA30" s="711"/>
      <c r="AB30" s="711"/>
      <c r="AC30" s="711"/>
      <c r="AD30" s="711">
        <v>12</v>
      </c>
    </row>
    <row r="31" spans="1:30">
      <c r="C31" s="709" t="s">
        <v>38</v>
      </c>
      <c r="D31" s="711"/>
      <c r="E31" s="711"/>
      <c r="F31" s="711"/>
      <c r="G31" s="711">
        <v>3</v>
      </c>
      <c r="H31" s="711">
        <v>3</v>
      </c>
      <c r="I31" s="711">
        <v>6</v>
      </c>
      <c r="J31" s="711"/>
      <c r="K31" s="711">
        <v>3</v>
      </c>
      <c r="L31" s="711">
        <v>3</v>
      </c>
      <c r="M31" s="711">
        <v>6</v>
      </c>
      <c r="N31" s="711">
        <v>3</v>
      </c>
      <c r="O31" s="711">
        <v>9</v>
      </c>
      <c r="P31" s="711"/>
      <c r="Q31" s="711"/>
      <c r="R31" s="711"/>
      <c r="S31" s="711"/>
      <c r="T31" s="711"/>
      <c r="U31" s="711"/>
      <c r="V31" s="711">
        <v>3</v>
      </c>
      <c r="W31" s="711">
        <v>3</v>
      </c>
      <c r="X31" s="711">
        <v>6</v>
      </c>
      <c r="Y31" s="711">
        <v>3</v>
      </c>
      <c r="Z31" s="711">
        <v>3</v>
      </c>
      <c r="AA31" s="711">
        <v>6</v>
      </c>
      <c r="AB31" s="711"/>
      <c r="AC31" s="711"/>
      <c r="AD31" s="711">
        <v>30</v>
      </c>
    </row>
    <row r="32" spans="1:30">
      <c r="B32" s="709" t="s">
        <v>111</v>
      </c>
      <c r="C32" s="709"/>
      <c r="D32" s="711">
        <v>9</v>
      </c>
      <c r="E32" s="711">
        <v>3</v>
      </c>
      <c r="F32" s="711">
        <v>12</v>
      </c>
      <c r="G32" s="711">
        <v>6</v>
      </c>
      <c r="H32" s="711">
        <v>3</v>
      </c>
      <c r="I32" s="711">
        <v>9</v>
      </c>
      <c r="J32" s="711">
        <v>6</v>
      </c>
      <c r="K32" s="711">
        <v>3</v>
      </c>
      <c r="L32" s="711">
        <v>9</v>
      </c>
      <c r="M32" s="711">
        <v>9</v>
      </c>
      <c r="N32" s="711">
        <v>6</v>
      </c>
      <c r="O32" s="711">
        <v>15</v>
      </c>
      <c r="P32" s="711"/>
      <c r="Q32" s="711"/>
      <c r="R32" s="711"/>
      <c r="S32" s="711">
        <v>3</v>
      </c>
      <c r="T32" s="711"/>
      <c r="U32" s="711">
        <v>3</v>
      </c>
      <c r="V32" s="711">
        <v>6</v>
      </c>
      <c r="W32" s="711">
        <v>3</v>
      </c>
      <c r="X32" s="711">
        <v>9</v>
      </c>
      <c r="Y32" s="711">
        <v>6</v>
      </c>
      <c r="Z32" s="711">
        <v>3</v>
      </c>
      <c r="AA32" s="711">
        <v>9</v>
      </c>
      <c r="AB32" s="711"/>
      <c r="AC32" s="711"/>
      <c r="AD32" s="711">
        <v>66</v>
      </c>
    </row>
    <row r="33" spans="1:30">
      <c r="A33" s="709" t="s">
        <v>94</v>
      </c>
      <c r="B33" s="709"/>
      <c r="C33" s="709"/>
      <c r="D33" s="711">
        <v>36</v>
      </c>
      <c r="E33" s="711">
        <v>23</v>
      </c>
      <c r="F33" s="711">
        <v>59</v>
      </c>
      <c r="G33" s="711">
        <v>18</v>
      </c>
      <c r="H33" s="711">
        <v>12</v>
      </c>
      <c r="I33" s="711">
        <v>30</v>
      </c>
      <c r="J33" s="711">
        <v>29</v>
      </c>
      <c r="K33" s="711">
        <v>5</v>
      </c>
      <c r="L33" s="711">
        <v>34</v>
      </c>
      <c r="M33" s="711">
        <v>17</v>
      </c>
      <c r="N33" s="711">
        <v>6</v>
      </c>
      <c r="O33" s="711">
        <v>23</v>
      </c>
      <c r="P33" s="711">
        <v>12</v>
      </c>
      <c r="Q33" s="711">
        <v>3</v>
      </c>
      <c r="R33" s="711">
        <v>15</v>
      </c>
      <c r="S33" s="711">
        <v>25</v>
      </c>
      <c r="T33" s="711">
        <v>15</v>
      </c>
      <c r="U33" s="711">
        <v>40</v>
      </c>
      <c r="V33" s="711">
        <v>18</v>
      </c>
      <c r="W33" s="711">
        <v>12</v>
      </c>
      <c r="X33" s="711">
        <v>30</v>
      </c>
      <c r="Y33" s="711">
        <v>18</v>
      </c>
      <c r="Z33" s="711">
        <v>12</v>
      </c>
      <c r="AA33" s="711">
        <v>30</v>
      </c>
      <c r="AB33" s="711"/>
      <c r="AC33" s="711"/>
      <c r="AD33" s="711">
        <v>261</v>
      </c>
    </row>
    <row r="34" spans="1:30">
      <c r="A34" s="709" t="s">
        <v>88</v>
      </c>
      <c r="D34" s="711">
        <v>49</v>
      </c>
      <c r="E34" s="711">
        <v>34</v>
      </c>
      <c r="F34" s="711">
        <v>83</v>
      </c>
      <c r="G34" s="711">
        <v>28</v>
      </c>
      <c r="H34" s="711">
        <v>18</v>
      </c>
      <c r="I34" s="711">
        <v>46</v>
      </c>
      <c r="J34" s="711">
        <v>42</v>
      </c>
      <c r="K34" s="711">
        <v>8</v>
      </c>
      <c r="L34" s="711">
        <v>50</v>
      </c>
      <c r="M34" s="711">
        <v>23</v>
      </c>
      <c r="N34" s="711">
        <v>8</v>
      </c>
      <c r="O34" s="711">
        <v>31</v>
      </c>
      <c r="P34" s="711">
        <v>16</v>
      </c>
      <c r="Q34" s="711">
        <v>4</v>
      </c>
      <c r="R34" s="711">
        <v>20</v>
      </c>
      <c r="S34" s="711">
        <v>34</v>
      </c>
      <c r="T34" s="711">
        <v>24</v>
      </c>
      <c r="U34" s="711">
        <v>58</v>
      </c>
      <c r="V34" s="711">
        <v>28</v>
      </c>
      <c r="W34" s="711">
        <v>18</v>
      </c>
      <c r="X34" s="711">
        <v>46</v>
      </c>
      <c r="Y34" s="711">
        <v>28</v>
      </c>
      <c r="Z34" s="711">
        <v>18</v>
      </c>
      <c r="AA34" s="711">
        <v>46</v>
      </c>
      <c r="AB34" s="711"/>
      <c r="AC34" s="711"/>
      <c r="AD34" s="711">
        <v>380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I80"/>
  <sheetViews>
    <sheetView topLeftCell="CT1" zoomScale="80" zoomScaleNormal="80" workbookViewId="0">
      <selection activeCell="DD7" sqref="DD7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1.7109375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8" customWidth="1"/>
    <col min="15" max="16" width="12.7109375" style="288" customWidth="1"/>
    <col min="17" max="17" width="18" style="288" customWidth="1"/>
    <col min="18" max="18" width="29.85546875" style="288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8.7109375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8" bestFit="1" customWidth="1"/>
    <col min="36" max="36" width="12.7109375" style="698" bestFit="1" customWidth="1"/>
    <col min="37" max="37" width="18" style="698" customWidth="1"/>
    <col min="38" max="38" width="19.140625" style="698" customWidth="1"/>
    <col min="39" max="39" width="9.140625" style="288"/>
    <col min="41" max="41" width="18.140625" bestFit="1" customWidth="1"/>
    <col min="42" max="42" width="20.140625" bestFit="1" customWidth="1"/>
    <col min="43" max="43" width="11" customWidth="1"/>
    <col min="44" max="44" width="10.5703125" bestFit="1" customWidth="1"/>
    <col min="45" max="45" width="9.140625" customWidth="1"/>
    <col min="46" max="46" width="9.85546875" customWidth="1"/>
    <col min="47" max="47" width="10.140625" customWidth="1"/>
    <col min="48" max="48" width="8.7109375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8" customWidth="1"/>
    <col min="57" max="57" width="18" style="698" customWidth="1"/>
    <col min="58" max="58" width="20.140625" style="698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8.7109375" customWidth="1"/>
    <col min="70" max="71" width="8.85546875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9.85546875" customWidth="1"/>
    <col min="90" max="90" width="22.28515625" customWidth="1"/>
    <col min="91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9.85546875" customWidth="1"/>
    <col min="103" max="103" width="22.28515625" customWidth="1"/>
    <col min="104" max="104" width="20.7109375" customWidth="1"/>
    <col min="105" max="105" width="29.85546875" bestFit="1" customWidth="1"/>
    <col min="108" max="108" width="19.5703125" bestFit="1" customWidth="1"/>
    <col min="109" max="109" width="20.140625" customWidth="1"/>
    <col min="110" max="110" width="17.28515625" customWidth="1"/>
    <col min="111" max="111" width="5.7109375" customWidth="1"/>
    <col min="112" max="112" width="11.5703125" customWidth="1"/>
    <col min="113" max="119" width="29.85546875" customWidth="1"/>
    <col min="120" max="129" width="29.85546875" bestFit="1" customWidth="1"/>
    <col min="130" max="131" width="17.85546875" bestFit="1" customWidth="1"/>
    <col min="132" max="132" width="23.140625" bestFit="1" customWidth="1"/>
    <col min="133" max="133" width="10.140625" bestFit="1" customWidth="1"/>
    <col min="134" max="134" width="21.7109375" bestFit="1" customWidth="1"/>
    <col min="135" max="135" width="14.140625" bestFit="1" customWidth="1"/>
    <col min="136" max="136" width="20" bestFit="1" customWidth="1"/>
    <col min="137" max="137" width="27.42578125" bestFit="1" customWidth="1"/>
    <col min="138" max="138" width="25.85546875" bestFit="1" customWidth="1"/>
    <col min="139" max="139" width="35" bestFit="1" customWidth="1"/>
  </cols>
  <sheetData>
    <row r="1" spans="1:139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8"/>
      <c r="BJ1" s="698"/>
      <c r="BK1" s="698"/>
      <c r="BL1" s="698"/>
      <c r="BM1" s="698"/>
      <c r="BN1" s="698"/>
      <c r="BO1" s="698"/>
      <c r="BP1" s="698"/>
      <c r="BQ1" s="698"/>
      <c r="BR1" s="698"/>
      <c r="BS1" s="698"/>
      <c r="BT1" s="698"/>
      <c r="BU1" s="698"/>
      <c r="BV1" s="698"/>
      <c r="CE1" s="703"/>
      <c r="CF1" s="703"/>
      <c r="CG1" s="703"/>
      <c r="CH1" s="703"/>
      <c r="CI1" s="703"/>
      <c r="CJ1" s="703"/>
      <c r="CK1" s="703"/>
      <c r="CL1" s="703"/>
      <c r="CM1" s="703"/>
      <c r="CN1" s="703"/>
      <c r="CO1" s="703"/>
      <c r="CP1" s="703"/>
      <c r="CQ1" s="703"/>
      <c r="CR1" s="703"/>
      <c r="CS1" s="703"/>
      <c r="CT1" s="703"/>
      <c r="CU1" s="703"/>
      <c r="CV1" s="703"/>
      <c r="CW1" s="703"/>
      <c r="CX1" s="703"/>
      <c r="CY1" s="703"/>
      <c r="CZ1" s="703"/>
      <c r="DA1" s="703"/>
      <c r="DD1" s="707"/>
      <c r="DE1" s="707"/>
      <c r="DF1" s="707"/>
      <c r="DG1" s="707"/>
      <c r="DH1" s="707"/>
      <c r="DI1" s="707"/>
      <c r="DJ1" s="707"/>
      <c r="DK1" s="707"/>
      <c r="DL1" s="707"/>
      <c r="DM1" s="707"/>
      <c r="DN1" s="707"/>
      <c r="DO1" s="707"/>
    </row>
    <row r="2" spans="1:139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0" t="s">
        <v>1</v>
      </c>
      <c r="AP2" s="709" t="s">
        <v>15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8"/>
      <c r="BL2" s="698"/>
      <c r="BM2" s="698"/>
      <c r="BN2" s="698"/>
      <c r="BO2" s="698"/>
      <c r="BP2" s="698"/>
      <c r="BQ2" s="698"/>
      <c r="BR2" s="698"/>
      <c r="BS2" s="698"/>
      <c r="BT2" s="698"/>
      <c r="BU2" s="698"/>
      <c r="BV2" s="698"/>
      <c r="CE2" s="703"/>
      <c r="CF2" s="703"/>
      <c r="CG2" s="703"/>
      <c r="CH2" s="703"/>
      <c r="CI2" s="703"/>
      <c r="CJ2" s="703"/>
      <c r="CK2" s="703"/>
      <c r="CL2" s="703"/>
      <c r="CM2" s="703"/>
      <c r="CN2" s="703"/>
      <c r="CO2" s="703"/>
      <c r="CP2" s="703"/>
      <c r="CQ2" s="703"/>
      <c r="CR2" s="703"/>
      <c r="CS2" s="703"/>
      <c r="CT2" s="703"/>
      <c r="CU2" s="703"/>
      <c r="CV2" s="703"/>
      <c r="CW2" s="703"/>
      <c r="CX2" s="703"/>
      <c r="CY2" s="703"/>
      <c r="CZ2" s="703"/>
      <c r="DA2" s="703"/>
      <c r="DD2" s="710" t="s">
        <v>1</v>
      </c>
      <c r="DE2" s="709" t="s">
        <v>15</v>
      </c>
      <c r="DF2" s="707"/>
      <c r="DG2" s="707"/>
      <c r="DH2" s="707"/>
      <c r="DI2" s="707"/>
      <c r="DJ2" s="707"/>
      <c r="DK2" s="707"/>
      <c r="DL2" s="707"/>
      <c r="DM2" s="707"/>
      <c r="DN2" s="707"/>
      <c r="DO2" s="707"/>
    </row>
    <row r="3" spans="1:139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0" t="s">
        <v>1</v>
      </c>
      <c r="U3" s="709" t="s">
        <v>15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0" t="s">
        <v>89</v>
      </c>
      <c r="AP3" s="709" t="s">
        <v>90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0" t="s">
        <v>1</v>
      </c>
      <c r="BJ3" s="709" t="s">
        <v>15</v>
      </c>
      <c r="BK3" s="698"/>
      <c r="BL3" s="698"/>
      <c r="BM3" s="698"/>
      <c r="BN3" s="698"/>
      <c r="BO3" s="698"/>
      <c r="BP3" s="698"/>
      <c r="BQ3" s="698"/>
      <c r="BR3" s="698"/>
      <c r="BS3" s="698"/>
      <c r="BT3" s="698"/>
      <c r="BU3" s="698"/>
      <c r="BV3" s="698"/>
      <c r="CC3" s="710" t="s">
        <v>1</v>
      </c>
      <c r="CD3" s="709" t="s">
        <v>15</v>
      </c>
      <c r="CE3" s="703"/>
      <c r="CF3" s="703"/>
      <c r="CG3" s="703"/>
      <c r="CH3" s="703"/>
      <c r="CI3" s="703"/>
      <c r="CJ3" s="703"/>
      <c r="CK3" s="703"/>
      <c r="CL3" s="703"/>
      <c r="CM3" s="703"/>
      <c r="CN3" s="703"/>
      <c r="CO3" s="703"/>
      <c r="CP3" s="710" t="s">
        <v>1</v>
      </c>
      <c r="CQ3" s="709" t="s">
        <v>15</v>
      </c>
      <c r="CR3" s="703"/>
      <c r="CS3" s="703"/>
      <c r="CT3" s="703"/>
      <c r="CU3" s="703"/>
      <c r="CV3" s="703"/>
      <c r="CW3" s="703"/>
      <c r="CX3" s="703"/>
      <c r="CY3" s="703"/>
      <c r="CZ3" s="703"/>
      <c r="DA3" s="703"/>
      <c r="DD3" s="710" t="s">
        <v>89</v>
      </c>
      <c r="DE3" s="709" t="s">
        <v>90</v>
      </c>
      <c r="DF3" s="707"/>
      <c r="DG3" s="707"/>
      <c r="DH3" s="707"/>
      <c r="DI3" s="707"/>
      <c r="DJ3" s="707"/>
      <c r="DK3" s="707"/>
      <c r="DL3" s="707"/>
      <c r="DM3" s="707"/>
      <c r="DN3" s="707"/>
      <c r="DO3" s="707"/>
    </row>
    <row r="4" spans="1:139">
      <c r="A4" s="710" t="s">
        <v>1</v>
      </c>
      <c r="B4" s="709" t="s">
        <v>15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0" t="s">
        <v>89</v>
      </c>
      <c r="U4" s="709" t="s">
        <v>90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0" t="s">
        <v>108</v>
      </c>
      <c r="AP4" s="709" t="s">
        <v>87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0" t="s">
        <v>89</v>
      </c>
      <c r="BJ4" s="709" t="s">
        <v>90</v>
      </c>
      <c r="BK4" s="698"/>
      <c r="BL4" s="698"/>
      <c r="BM4" s="698"/>
      <c r="BN4" s="698"/>
      <c r="BO4" s="698"/>
      <c r="BP4" s="698"/>
      <c r="BQ4" s="698"/>
      <c r="BR4" s="698"/>
      <c r="BS4" s="698"/>
      <c r="BT4" s="698"/>
      <c r="BU4" s="698"/>
      <c r="BV4" s="698"/>
      <c r="CC4" s="710" t="s">
        <v>89</v>
      </c>
      <c r="CD4" s="709" t="s">
        <v>90</v>
      </c>
      <c r="CE4" s="703"/>
      <c r="CF4" s="703"/>
      <c r="CG4" s="703"/>
      <c r="CH4" s="703"/>
      <c r="CI4" s="703"/>
      <c r="CJ4" s="703"/>
      <c r="CK4" s="703"/>
      <c r="CL4" s="703"/>
      <c r="CM4" s="703"/>
      <c r="CN4" s="703"/>
      <c r="CO4" s="703"/>
      <c r="CP4" s="710" t="s">
        <v>89</v>
      </c>
      <c r="CQ4" s="709" t="s">
        <v>90</v>
      </c>
      <c r="CR4" s="703"/>
      <c r="CS4" s="703"/>
      <c r="CT4" s="703"/>
      <c r="CU4" s="703"/>
      <c r="CV4" s="703"/>
      <c r="CW4" s="703"/>
      <c r="CX4" s="703"/>
      <c r="CY4" s="703"/>
      <c r="CZ4" s="703"/>
      <c r="DA4" s="703"/>
      <c r="DD4" s="712" t="s">
        <v>105</v>
      </c>
      <c r="DE4" s="714">
        <v>2</v>
      </c>
      <c r="DF4" s="707"/>
      <c r="DG4" s="707"/>
      <c r="DH4" s="707"/>
      <c r="DI4" s="707"/>
      <c r="DJ4" s="707"/>
      <c r="DK4" s="707"/>
      <c r="DL4" s="707"/>
      <c r="DM4" s="707"/>
      <c r="DN4" s="707"/>
      <c r="DO4" s="707"/>
    </row>
    <row r="5" spans="1:139">
      <c r="A5" s="710" t="s">
        <v>89</v>
      </c>
      <c r="B5" s="709" t="s">
        <v>90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0" t="s">
        <v>108</v>
      </c>
      <c r="U5" s="709" t="s">
        <v>87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2" t="s">
        <v>105</v>
      </c>
      <c r="AP5" s="714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2" t="s">
        <v>105</v>
      </c>
      <c r="BJ5" s="714">
        <v>1</v>
      </c>
      <c r="BK5" s="698"/>
      <c r="BL5" s="698"/>
      <c r="BM5" s="698"/>
      <c r="BN5" s="698"/>
      <c r="BO5" s="698"/>
      <c r="BP5" s="698"/>
      <c r="BQ5" s="698"/>
      <c r="BR5" s="698"/>
      <c r="BS5" s="698"/>
      <c r="BT5" s="698"/>
      <c r="BU5" s="698"/>
      <c r="BV5" s="698"/>
      <c r="CC5" s="712" t="s">
        <v>105</v>
      </c>
      <c r="CD5" s="714">
        <v>1</v>
      </c>
      <c r="CE5" s="703"/>
      <c r="CF5" s="703"/>
      <c r="CG5" s="703"/>
      <c r="CH5" s="703"/>
      <c r="CI5" s="703"/>
      <c r="CJ5" s="703"/>
      <c r="CK5" s="703"/>
      <c r="CL5" s="703"/>
      <c r="CM5" s="703"/>
      <c r="CN5" s="703"/>
      <c r="CO5" s="703"/>
      <c r="CP5" s="712" t="s">
        <v>105</v>
      </c>
      <c r="CQ5" s="714">
        <v>1</v>
      </c>
      <c r="CR5" s="703"/>
      <c r="CS5" s="703"/>
      <c r="CT5" s="703"/>
      <c r="CU5" s="703"/>
      <c r="CV5" s="703"/>
      <c r="CW5" s="703"/>
      <c r="CX5" s="703"/>
      <c r="CY5" s="703"/>
      <c r="CZ5" s="703"/>
      <c r="DA5" s="703"/>
      <c r="DD5" s="710" t="s">
        <v>106</v>
      </c>
      <c r="DE5" s="709" t="s">
        <v>87</v>
      </c>
      <c r="DF5" s="707"/>
      <c r="DG5" s="707"/>
      <c r="DH5" s="707"/>
      <c r="DI5" s="707"/>
      <c r="DJ5" s="707"/>
      <c r="DK5" s="707"/>
      <c r="DL5" s="707"/>
      <c r="DM5" s="707"/>
      <c r="DN5" s="707"/>
      <c r="DO5" s="707"/>
    </row>
    <row r="6" spans="1:13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8"/>
      <c r="BJ6" s="698"/>
      <c r="BK6" s="698"/>
      <c r="BL6" s="698"/>
      <c r="BM6" s="698"/>
      <c r="BN6" s="698"/>
      <c r="BO6" s="698"/>
      <c r="BP6" s="698"/>
      <c r="BQ6" s="698"/>
      <c r="BR6" s="698"/>
      <c r="BS6" s="698"/>
      <c r="BT6" s="698"/>
      <c r="BU6" s="698"/>
      <c r="BV6" s="698"/>
      <c r="CC6" s="703"/>
      <c r="CD6" s="703"/>
      <c r="CE6" s="703"/>
      <c r="CF6" s="703"/>
      <c r="CG6" s="703"/>
      <c r="CH6" s="703"/>
      <c r="CI6" s="703"/>
      <c r="CJ6" s="703"/>
      <c r="CK6" s="703"/>
      <c r="CL6" s="703"/>
      <c r="CM6" s="703"/>
      <c r="CN6" s="703"/>
      <c r="CO6" s="703"/>
      <c r="CP6" s="703"/>
      <c r="CQ6" s="703"/>
      <c r="CR6" s="703"/>
      <c r="CS6" s="703"/>
      <c r="CT6" s="703"/>
      <c r="CU6" s="703"/>
      <c r="CV6" s="703"/>
      <c r="CW6" s="703"/>
      <c r="CX6" s="703"/>
      <c r="CY6" s="703"/>
      <c r="CZ6" s="703"/>
      <c r="DA6" s="703"/>
      <c r="DD6" s="707"/>
      <c r="DE6" s="707"/>
      <c r="DF6" s="707"/>
      <c r="DG6" s="707"/>
      <c r="DH6" s="707"/>
      <c r="DI6" s="707"/>
      <c r="DJ6" s="707"/>
      <c r="DK6" s="707"/>
      <c r="DL6" s="707"/>
      <c r="DM6" s="707"/>
      <c r="DN6" s="707"/>
      <c r="DO6" s="707"/>
    </row>
    <row r="7" spans="1:139">
      <c r="E7" s="710" t="s">
        <v>123</v>
      </c>
      <c r="N7"/>
      <c r="O7"/>
      <c r="P7"/>
      <c r="Q7"/>
      <c r="W7" s="710" t="s">
        <v>123</v>
      </c>
      <c r="AG7"/>
      <c r="AH7"/>
      <c r="AI7"/>
      <c r="AJ7"/>
      <c r="AK7"/>
      <c r="AN7" s="1"/>
      <c r="AQ7" s="710" t="s">
        <v>123</v>
      </c>
      <c r="BD7"/>
      <c r="BE7"/>
      <c r="BL7" s="710" t="s">
        <v>123</v>
      </c>
      <c r="CF7" s="710" t="s">
        <v>123</v>
      </c>
      <c r="CR7" s="710" t="s">
        <v>123</v>
      </c>
      <c r="DD7" s="710" t="s">
        <v>12</v>
      </c>
    </row>
    <row r="8" spans="1:139" s="132" customFormat="1" ht="30">
      <c r="A8" s="712" t="s">
        <v>105</v>
      </c>
      <c r="B8" s="710" t="s">
        <v>108</v>
      </c>
      <c r="C8" s="712" t="s">
        <v>107</v>
      </c>
      <c r="D8" s="712" t="s">
        <v>3</v>
      </c>
      <c r="E8" s="713" t="s">
        <v>139</v>
      </c>
      <c r="F8" s="713" t="s">
        <v>140</v>
      </c>
      <c r="G8" s="713" t="s">
        <v>141</v>
      </c>
      <c r="H8" s="713" t="s">
        <v>142</v>
      </c>
      <c r="I8" s="713" t="s">
        <v>143</v>
      </c>
      <c r="J8" s="713" t="s">
        <v>144</v>
      </c>
      <c r="K8" s="713" t="s">
        <v>145</v>
      </c>
      <c r="L8" s="713" t="s">
        <v>146</v>
      </c>
      <c r="M8" s="709" t="s">
        <v>147</v>
      </c>
      <c r="N8" s="709" t="s">
        <v>148</v>
      </c>
      <c r="O8" s="709" t="s">
        <v>223</v>
      </c>
      <c r="P8" s="709" t="s">
        <v>224</v>
      </c>
      <c r="Q8" s="709" t="s">
        <v>225</v>
      </c>
      <c r="R8" s="288"/>
      <c r="T8" s="712" t="s">
        <v>105</v>
      </c>
      <c r="U8" s="712" t="s">
        <v>107</v>
      </c>
      <c r="V8" s="712" t="s">
        <v>3</v>
      </c>
      <c r="W8" s="713" t="s">
        <v>139</v>
      </c>
      <c r="X8" s="713" t="s">
        <v>140</v>
      </c>
      <c r="Y8" s="713" t="s">
        <v>141</v>
      </c>
      <c r="Z8" s="713" t="s">
        <v>142</v>
      </c>
      <c r="AA8" s="713" t="s">
        <v>143</v>
      </c>
      <c r="AB8" s="713" t="s">
        <v>144</v>
      </c>
      <c r="AC8" s="713" t="s">
        <v>145</v>
      </c>
      <c r="AD8" s="713" t="s">
        <v>146</v>
      </c>
      <c r="AE8" s="709" t="s">
        <v>147</v>
      </c>
      <c r="AF8" s="709" t="s">
        <v>148</v>
      </c>
      <c r="AG8" s="709" t="s">
        <v>221</v>
      </c>
      <c r="AH8" s="709" t="s">
        <v>222</v>
      </c>
      <c r="AI8" s="709" t="s">
        <v>223</v>
      </c>
      <c r="AJ8" s="709" t="s">
        <v>224</v>
      </c>
      <c r="AK8" s="709" t="s">
        <v>225</v>
      </c>
      <c r="AL8" s="698"/>
      <c r="AM8" s="288"/>
      <c r="AO8" s="710" t="s">
        <v>0</v>
      </c>
      <c r="AP8" s="712" t="s">
        <v>3</v>
      </c>
      <c r="AQ8" s="713" t="s">
        <v>139</v>
      </c>
      <c r="AR8" s="713" t="s">
        <v>140</v>
      </c>
      <c r="AS8" s="713" t="s">
        <v>141</v>
      </c>
      <c r="AT8" s="713" t="s">
        <v>142</v>
      </c>
      <c r="AU8" s="713" t="s">
        <v>143</v>
      </c>
      <c r="AV8" s="713" t="s">
        <v>144</v>
      </c>
      <c r="AW8" s="713" t="s">
        <v>145</v>
      </c>
      <c r="AX8" s="713" t="s">
        <v>146</v>
      </c>
      <c r="AY8" s="709" t="s">
        <v>147</v>
      </c>
      <c r="AZ8" s="709" t="s">
        <v>148</v>
      </c>
      <c r="BA8" s="709" t="s">
        <v>221</v>
      </c>
      <c r="BB8" s="709" t="s">
        <v>222</v>
      </c>
      <c r="BC8" s="709" t="s">
        <v>223</v>
      </c>
      <c r="BD8" s="709" t="s">
        <v>224</v>
      </c>
      <c r="BE8" s="709" t="s">
        <v>225</v>
      </c>
      <c r="BF8" s="698"/>
      <c r="BI8" s="710" t="s">
        <v>108</v>
      </c>
      <c r="BJ8" s="710" t="s">
        <v>0</v>
      </c>
      <c r="BK8" s="712" t="s">
        <v>3</v>
      </c>
      <c r="BL8" s="713" t="s">
        <v>139</v>
      </c>
      <c r="BM8" s="713" t="s">
        <v>140</v>
      </c>
      <c r="BN8" s="713" t="s">
        <v>141</v>
      </c>
      <c r="BO8" s="713" t="s">
        <v>142</v>
      </c>
      <c r="BP8" s="713" t="s">
        <v>143</v>
      </c>
      <c r="BQ8" s="713" t="s">
        <v>144</v>
      </c>
      <c r="BR8" s="713" t="s">
        <v>145</v>
      </c>
      <c r="BS8" s="713" t="s">
        <v>146</v>
      </c>
      <c r="BT8" s="709" t="s">
        <v>147</v>
      </c>
      <c r="BU8" s="709" t="s">
        <v>148</v>
      </c>
      <c r="BV8" s="709" t="s">
        <v>221</v>
      </c>
      <c r="BW8" s="709" t="s">
        <v>222</v>
      </c>
      <c r="BX8" s="709" t="s">
        <v>223</v>
      </c>
      <c r="BY8" s="709" t="s">
        <v>224</v>
      </c>
      <c r="BZ8" s="709" t="s">
        <v>225</v>
      </c>
      <c r="CC8" s="710" t="s">
        <v>4</v>
      </c>
      <c r="CD8" s="710" t="s">
        <v>2</v>
      </c>
      <c r="CE8" s="712" t="s">
        <v>3</v>
      </c>
      <c r="CF8" s="709" t="s">
        <v>223</v>
      </c>
      <c r="CG8" s="709" t="s">
        <v>224</v>
      </c>
      <c r="CH8" s="709" t="s">
        <v>225</v>
      </c>
      <c r="CI8" s="709" t="s">
        <v>237</v>
      </c>
      <c r="CJ8" s="713" t="s">
        <v>141</v>
      </c>
      <c r="CK8" s="713" t="s">
        <v>142</v>
      </c>
      <c r="CL8" s="709" t="s">
        <v>221</v>
      </c>
      <c r="CM8" s="709" t="s">
        <v>222</v>
      </c>
      <c r="CN8"/>
      <c r="CO8"/>
      <c r="CP8" s="710" t="s">
        <v>4</v>
      </c>
      <c r="CQ8" s="710" t="s">
        <v>2</v>
      </c>
      <c r="CR8" s="709" t="s">
        <v>223</v>
      </c>
      <c r="CS8" s="709" t="s">
        <v>224</v>
      </c>
      <c r="CT8" s="709" t="s">
        <v>225</v>
      </c>
      <c r="CU8" s="709" t="s">
        <v>237</v>
      </c>
      <c r="CV8" s="709" t="s">
        <v>238</v>
      </c>
      <c r="CW8" s="713" t="s">
        <v>141</v>
      </c>
      <c r="CX8" s="713" t="s">
        <v>142</v>
      </c>
      <c r="CY8" s="709" t="s">
        <v>221</v>
      </c>
      <c r="CZ8" s="709" t="s">
        <v>222</v>
      </c>
      <c r="DA8" s="709" t="s">
        <v>242</v>
      </c>
      <c r="DD8" s="712" t="s">
        <v>107</v>
      </c>
      <c r="DE8" s="710" t="s">
        <v>108</v>
      </c>
      <c r="DF8" s="712" t="s">
        <v>3</v>
      </c>
      <c r="DG8" t="s">
        <v>243</v>
      </c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</row>
    <row r="9" spans="1:139">
      <c r="A9" s="709">
        <v>1</v>
      </c>
      <c r="B9" s="709" t="s">
        <v>16</v>
      </c>
      <c r="C9" s="709" t="s">
        <v>39</v>
      </c>
      <c r="D9" s="718" t="s">
        <v>91</v>
      </c>
      <c r="E9" s="711"/>
      <c r="F9" s="711"/>
      <c r="G9" s="711"/>
      <c r="H9" s="711"/>
      <c r="I9" s="711"/>
      <c r="J9" s="711"/>
      <c r="K9" s="711"/>
      <c r="L9" s="711"/>
      <c r="M9" s="711"/>
      <c r="N9" s="711"/>
      <c r="O9" s="711">
        <v>1</v>
      </c>
      <c r="P9" s="711"/>
      <c r="Q9" s="711"/>
      <c r="R9" s="27"/>
      <c r="T9" s="709">
        <v>1</v>
      </c>
      <c r="U9" s="709" t="s">
        <v>39</v>
      </c>
      <c r="V9" s="718" t="s">
        <v>91</v>
      </c>
      <c r="W9" s="711"/>
      <c r="X9" s="711"/>
      <c r="Y9" s="711">
        <v>1</v>
      </c>
      <c r="Z9" s="711">
        <v>0</v>
      </c>
      <c r="AA9" s="711">
        <v>0</v>
      </c>
      <c r="AB9" s="711">
        <v>1</v>
      </c>
      <c r="AC9" s="711">
        <v>0</v>
      </c>
      <c r="AD9" s="711">
        <v>1</v>
      </c>
      <c r="AE9" s="711"/>
      <c r="AF9" s="711"/>
      <c r="AG9" s="711">
        <v>0</v>
      </c>
      <c r="AH9" s="711">
        <v>2</v>
      </c>
      <c r="AI9" s="711">
        <v>1</v>
      </c>
      <c r="AJ9" s="711"/>
      <c r="AK9" s="711">
        <v>1</v>
      </c>
      <c r="AL9" s="27"/>
      <c r="AN9" s="1"/>
      <c r="AO9" s="709" t="s">
        <v>13</v>
      </c>
      <c r="AP9" s="718" t="s">
        <v>91</v>
      </c>
      <c r="AQ9" s="711">
        <v>1</v>
      </c>
      <c r="AR9" s="711">
        <v>0.75</v>
      </c>
      <c r="AS9" s="711">
        <v>0</v>
      </c>
      <c r="AT9" s="711">
        <v>1</v>
      </c>
      <c r="AU9" s="711">
        <v>0</v>
      </c>
      <c r="AV9" s="711">
        <v>1</v>
      </c>
      <c r="AW9" s="711">
        <v>0</v>
      </c>
      <c r="AX9" s="711">
        <v>1</v>
      </c>
      <c r="AY9" s="711">
        <v>0</v>
      </c>
      <c r="AZ9" s="711">
        <v>1</v>
      </c>
      <c r="BA9" s="711">
        <v>1</v>
      </c>
      <c r="BB9" s="711">
        <v>0</v>
      </c>
      <c r="BC9" s="711"/>
      <c r="BD9" s="711">
        <v>2</v>
      </c>
      <c r="BE9" s="711">
        <v>2</v>
      </c>
      <c r="BF9" s="27"/>
      <c r="BI9" s="709" t="s">
        <v>16</v>
      </c>
      <c r="BJ9" s="709" t="s">
        <v>13</v>
      </c>
      <c r="BK9" s="718" t="s">
        <v>91</v>
      </c>
      <c r="BL9" s="711">
        <v>0</v>
      </c>
      <c r="BM9" s="711">
        <v>1</v>
      </c>
      <c r="BN9" s="711">
        <v>0</v>
      </c>
      <c r="BO9" s="711">
        <v>1</v>
      </c>
      <c r="BP9" s="711">
        <v>0</v>
      </c>
      <c r="BQ9" s="711">
        <v>1</v>
      </c>
      <c r="BR9" s="711">
        <v>0</v>
      </c>
      <c r="BS9" s="711">
        <v>1</v>
      </c>
      <c r="BT9" s="711">
        <v>0</v>
      </c>
      <c r="BU9" s="711">
        <v>1</v>
      </c>
      <c r="BV9" s="711">
        <v>1</v>
      </c>
      <c r="BW9" s="711">
        <v>0</v>
      </c>
      <c r="BX9" s="711"/>
      <c r="BY9" s="711">
        <v>2</v>
      </c>
      <c r="BZ9" s="711">
        <v>1</v>
      </c>
      <c r="CC9" s="709">
        <v>1</v>
      </c>
      <c r="CD9" s="709" t="s">
        <v>31</v>
      </c>
      <c r="CE9" s="718" t="s">
        <v>91</v>
      </c>
      <c r="CF9" s="711"/>
      <c r="CG9" s="711">
        <v>1</v>
      </c>
      <c r="CH9" s="711"/>
      <c r="CI9" s="711"/>
      <c r="CJ9" s="711"/>
      <c r="CK9" s="711"/>
      <c r="CL9" s="711"/>
      <c r="CM9" s="711"/>
      <c r="CP9" s="709">
        <v>1</v>
      </c>
      <c r="CQ9" s="709" t="s">
        <v>31</v>
      </c>
      <c r="CR9" s="711"/>
      <c r="CS9" s="711">
        <v>1</v>
      </c>
      <c r="CT9" s="711"/>
      <c r="CU9" s="711"/>
      <c r="CV9" s="711"/>
      <c r="CW9" s="711"/>
      <c r="CX9" s="711"/>
      <c r="CY9" s="711"/>
      <c r="CZ9" s="711"/>
      <c r="DA9" s="711"/>
      <c r="DD9" s="709" t="s">
        <v>45</v>
      </c>
      <c r="DE9" s="709" t="s">
        <v>16</v>
      </c>
      <c r="DF9" s="718" t="s">
        <v>91</v>
      </c>
      <c r="DG9" s="711">
        <v>7</v>
      </c>
    </row>
    <row r="10" spans="1:139">
      <c r="D10" s="718" t="s">
        <v>92</v>
      </c>
      <c r="E10" s="711"/>
      <c r="F10" s="711"/>
      <c r="G10" s="711"/>
      <c r="H10" s="711"/>
      <c r="I10" s="711"/>
      <c r="J10" s="711"/>
      <c r="K10" s="711"/>
      <c r="L10" s="711"/>
      <c r="M10" s="711">
        <v>0</v>
      </c>
      <c r="N10" s="711">
        <v>1</v>
      </c>
      <c r="O10" s="711">
        <v>1</v>
      </c>
      <c r="P10" s="711">
        <v>1</v>
      </c>
      <c r="Q10" s="711"/>
      <c r="R10" s="27"/>
      <c r="V10" s="718" t="s">
        <v>92</v>
      </c>
      <c r="W10" s="711">
        <v>0</v>
      </c>
      <c r="X10" s="711">
        <v>1</v>
      </c>
      <c r="Y10" s="711">
        <v>0</v>
      </c>
      <c r="Z10" s="711">
        <v>1</v>
      </c>
      <c r="AA10" s="711">
        <v>0</v>
      </c>
      <c r="AB10" s="711">
        <v>1</v>
      </c>
      <c r="AC10" s="711">
        <v>0</v>
      </c>
      <c r="AD10" s="711">
        <v>1</v>
      </c>
      <c r="AE10" s="711">
        <v>0</v>
      </c>
      <c r="AF10" s="711">
        <v>1</v>
      </c>
      <c r="AG10" s="711">
        <v>0</v>
      </c>
      <c r="AH10" s="711">
        <v>1</v>
      </c>
      <c r="AI10" s="711">
        <v>1</v>
      </c>
      <c r="AJ10" s="711">
        <v>1</v>
      </c>
      <c r="AK10" s="711">
        <v>1</v>
      </c>
      <c r="AL10" s="27"/>
      <c r="AN10" s="1"/>
      <c r="AP10" s="718" t="s">
        <v>92</v>
      </c>
      <c r="AQ10" s="711"/>
      <c r="AR10" s="711"/>
      <c r="AS10" s="711">
        <v>0</v>
      </c>
      <c r="AT10" s="711">
        <v>1</v>
      </c>
      <c r="AU10" s="711">
        <v>0</v>
      </c>
      <c r="AV10" s="711">
        <v>1</v>
      </c>
      <c r="AW10" s="711">
        <v>0</v>
      </c>
      <c r="AX10" s="711">
        <v>1</v>
      </c>
      <c r="AY10" s="711"/>
      <c r="AZ10" s="711"/>
      <c r="BA10" s="711"/>
      <c r="BB10" s="711"/>
      <c r="BC10" s="711"/>
      <c r="BD10" s="711"/>
      <c r="BE10" s="711">
        <v>1</v>
      </c>
      <c r="BF10" s="27"/>
      <c r="BK10" s="718" t="s">
        <v>92</v>
      </c>
      <c r="BL10" s="711"/>
      <c r="BM10" s="711"/>
      <c r="BN10" s="711">
        <v>0</v>
      </c>
      <c r="BO10" s="711">
        <v>1</v>
      </c>
      <c r="BP10" s="711"/>
      <c r="BQ10" s="711"/>
      <c r="BR10" s="711">
        <v>0</v>
      </c>
      <c r="BS10" s="711">
        <v>1</v>
      </c>
      <c r="BT10" s="711"/>
      <c r="BU10" s="711"/>
      <c r="BV10" s="711"/>
      <c r="BW10" s="711"/>
      <c r="BX10" s="711"/>
      <c r="BY10" s="711"/>
      <c r="BZ10" s="711">
        <v>1</v>
      </c>
      <c r="CD10" s="709" t="s">
        <v>235</v>
      </c>
      <c r="CE10" s="709"/>
      <c r="CF10" s="711"/>
      <c r="CG10" s="711">
        <v>1</v>
      </c>
      <c r="CH10" s="711"/>
      <c r="CI10" s="711"/>
      <c r="CJ10" s="711"/>
      <c r="CK10" s="711"/>
      <c r="CL10" s="711"/>
      <c r="CM10" s="711"/>
      <c r="CP10" s="709">
        <v>2</v>
      </c>
      <c r="CQ10" s="709" t="s">
        <v>198</v>
      </c>
      <c r="CR10" s="711">
        <v>1</v>
      </c>
      <c r="CS10" s="711"/>
      <c r="CT10" s="711"/>
      <c r="CU10" s="711"/>
      <c r="CV10" s="711"/>
      <c r="CW10" s="711"/>
      <c r="CX10" s="711"/>
      <c r="CY10" s="711"/>
      <c r="CZ10" s="711"/>
      <c r="DA10" s="711"/>
      <c r="DF10" s="718" t="s">
        <v>92</v>
      </c>
      <c r="DG10" s="711">
        <v>6</v>
      </c>
    </row>
    <row r="11" spans="1:139" s="700" customFormat="1">
      <c r="A11" s="716"/>
      <c r="B11" s="716"/>
      <c r="C11" s="716" t="s">
        <v>124</v>
      </c>
      <c r="D11" s="716"/>
      <c r="E11" s="715"/>
      <c r="F11" s="715"/>
      <c r="G11" s="715"/>
      <c r="H11" s="715"/>
      <c r="I11" s="715"/>
      <c r="J11" s="715"/>
      <c r="K11" s="715"/>
      <c r="L11" s="715"/>
      <c r="M11" s="715">
        <v>0</v>
      </c>
      <c r="N11" s="715">
        <v>1</v>
      </c>
      <c r="O11" s="715">
        <v>2</v>
      </c>
      <c r="P11" s="715">
        <v>1</v>
      </c>
      <c r="Q11" s="715"/>
      <c r="R11" s="699"/>
      <c r="T11" s="716"/>
      <c r="U11" s="716" t="s">
        <v>124</v>
      </c>
      <c r="V11" s="716"/>
      <c r="W11" s="715">
        <v>0</v>
      </c>
      <c r="X11" s="715">
        <v>1</v>
      </c>
      <c r="Y11" s="715">
        <v>1</v>
      </c>
      <c r="Z11" s="715">
        <v>0.5</v>
      </c>
      <c r="AA11" s="715">
        <v>0</v>
      </c>
      <c r="AB11" s="715">
        <v>1</v>
      </c>
      <c r="AC11" s="715">
        <v>0</v>
      </c>
      <c r="AD11" s="715">
        <v>1</v>
      </c>
      <c r="AE11" s="715">
        <v>0</v>
      </c>
      <c r="AF11" s="715">
        <v>1</v>
      </c>
      <c r="AG11" s="715">
        <v>0</v>
      </c>
      <c r="AH11" s="715">
        <v>3</v>
      </c>
      <c r="AI11" s="715">
        <v>2</v>
      </c>
      <c r="AJ11" s="715">
        <v>1</v>
      </c>
      <c r="AK11" s="715">
        <v>2</v>
      </c>
      <c r="AL11" s="699"/>
      <c r="AO11" s="716" t="s">
        <v>216</v>
      </c>
      <c r="AP11" s="716"/>
      <c r="AQ11" s="715">
        <v>1</v>
      </c>
      <c r="AR11" s="715">
        <v>0.75</v>
      </c>
      <c r="AS11" s="715">
        <v>0</v>
      </c>
      <c r="AT11" s="715">
        <v>1</v>
      </c>
      <c r="AU11" s="715">
        <v>0</v>
      </c>
      <c r="AV11" s="715">
        <v>1</v>
      </c>
      <c r="AW11" s="715">
        <v>0</v>
      </c>
      <c r="AX11" s="715">
        <v>1</v>
      </c>
      <c r="AY11" s="715">
        <v>0</v>
      </c>
      <c r="AZ11" s="715">
        <v>1</v>
      </c>
      <c r="BA11" s="715">
        <v>1</v>
      </c>
      <c r="BB11" s="715">
        <v>0</v>
      </c>
      <c r="BC11" s="715"/>
      <c r="BD11" s="715">
        <v>2</v>
      </c>
      <c r="BE11" s="715">
        <v>3</v>
      </c>
      <c r="BF11" s="699"/>
      <c r="BI11"/>
      <c r="BJ11" s="716" t="s">
        <v>216</v>
      </c>
      <c r="BK11" s="716"/>
      <c r="BL11" s="715">
        <v>0</v>
      </c>
      <c r="BM11" s="715">
        <v>1</v>
      </c>
      <c r="BN11" s="715">
        <v>0</v>
      </c>
      <c r="BO11" s="715">
        <v>1</v>
      </c>
      <c r="BP11" s="715">
        <v>0</v>
      </c>
      <c r="BQ11" s="715">
        <v>1</v>
      </c>
      <c r="BR11" s="715">
        <v>0</v>
      </c>
      <c r="BS11" s="715">
        <v>1</v>
      </c>
      <c r="BT11" s="715">
        <v>0</v>
      </c>
      <c r="BU11" s="715">
        <v>1</v>
      </c>
      <c r="BV11" s="715">
        <v>1</v>
      </c>
      <c r="BW11" s="715">
        <v>0</v>
      </c>
      <c r="BX11" s="715"/>
      <c r="BY11" s="715">
        <v>2</v>
      </c>
      <c r="BZ11" s="715">
        <v>2</v>
      </c>
      <c r="CC11" s="709">
        <v>2</v>
      </c>
      <c r="CD11" s="709" t="s">
        <v>198</v>
      </c>
      <c r="CE11" s="718" t="s">
        <v>91</v>
      </c>
      <c r="CF11" s="711">
        <v>1</v>
      </c>
      <c r="CG11" s="711"/>
      <c r="CH11" s="711"/>
      <c r="CI11" s="711"/>
      <c r="CJ11" s="711"/>
      <c r="CK11" s="711"/>
      <c r="CL11" s="711"/>
      <c r="CM11" s="711"/>
      <c r="CN11"/>
      <c r="CO11"/>
      <c r="CP11" s="709">
        <v>3</v>
      </c>
      <c r="CQ11" s="709" t="s">
        <v>44</v>
      </c>
      <c r="CR11" s="711">
        <v>3</v>
      </c>
      <c r="CS11" s="711">
        <v>3</v>
      </c>
      <c r="CT11" s="711">
        <v>1</v>
      </c>
      <c r="CU11" s="711">
        <v>1</v>
      </c>
      <c r="CV11" s="711">
        <v>1</v>
      </c>
      <c r="CW11" s="711">
        <v>0</v>
      </c>
      <c r="CX11" s="711">
        <v>1</v>
      </c>
      <c r="CY11" s="711">
        <v>1</v>
      </c>
      <c r="CZ11" s="711">
        <v>0</v>
      </c>
      <c r="DA11" s="711">
        <v>1</v>
      </c>
      <c r="DD11"/>
      <c r="DE11" s="709" t="s">
        <v>110</v>
      </c>
      <c r="DF11" s="709"/>
      <c r="DG11" s="711">
        <v>13</v>
      </c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</row>
    <row r="12" spans="1:139" s="700" customFormat="1">
      <c r="A12" s="716"/>
      <c r="B12" s="716"/>
      <c r="C12" s="716" t="s">
        <v>43</v>
      </c>
      <c r="D12" s="717" t="s">
        <v>91</v>
      </c>
      <c r="E12" s="711">
        <v>0</v>
      </c>
      <c r="F12" s="711">
        <v>1</v>
      </c>
      <c r="G12" s="711">
        <v>0</v>
      </c>
      <c r="H12" s="711">
        <v>1</v>
      </c>
      <c r="I12" s="711">
        <v>0</v>
      </c>
      <c r="J12" s="711">
        <v>1</v>
      </c>
      <c r="K12" s="711">
        <v>0</v>
      </c>
      <c r="L12" s="711">
        <v>1</v>
      </c>
      <c r="M12" s="711"/>
      <c r="N12" s="711"/>
      <c r="O12" s="711">
        <v>2</v>
      </c>
      <c r="P12" s="711">
        <v>1</v>
      </c>
      <c r="Q12" s="711">
        <v>2</v>
      </c>
      <c r="R12" s="699"/>
      <c r="T12" s="716"/>
      <c r="U12" s="716" t="s">
        <v>43</v>
      </c>
      <c r="V12" s="717" t="s">
        <v>91</v>
      </c>
      <c r="W12" s="711">
        <v>0</v>
      </c>
      <c r="X12" s="711">
        <v>1</v>
      </c>
      <c r="Y12" s="711">
        <v>0</v>
      </c>
      <c r="Z12" s="711">
        <v>1</v>
      </c>
      <c r="AA12" s="711">
        <v>0</v>
      </c>
      <c r="AB12" s="711">
        <v>1</v>
      </c>
      <c r="AC12" s="711">
        <v>0</v>
      </c>
      <c r="AD12" s="711">
        <v>1</v>
      </c>
      <c r="AE12" s="711"/>
      <c r="AF12" s="711"/>
      <c r="AG12" s="711">
        <v>1</v>
      </c>
      <c r="AH12" s="711">
        <v>0</v>
      </c>
      <c r="AI12" s="711">
        <v>2</v>
      </c>
      <c r="AJ12" s="711">
        <v>1</v>
      </c>
      <c r="AK12" s="711">
        <v>2</v>
      </c>
      <c r="AL12" s="27"/>
      <c r="AO12" s="716" t="s">
        <v>26</v>
      </c>
      <c r="AP12" s="717" t="s">
        <v>91</v>
      </c>
      <c r="AQ12" s="711">
        <v>0</v>
      </c>
      <c r="AR12" s="711">
        <v>1</v>
      </c>
      <c r="AS12" s="711"/>
      <c r="AT12" s="711"/>
      <c r="AU12" s="711"/>
      <c r="AV12" s="711"/>
      <c r="AW12" s="711"/>
      <c r="AX12" s="711"/>
      <c r="AY12" s="711"/>
      <c r="AZ12" s="711"/>
      <c r="BA12" s="711"/>
      <c r="BB12" s="711"/>
      <c r="BC12" s="711">
        <v>4</v>
      </c>
      <c r="BD12" s="711">
        <v>7</v>
      </c>
      <c r="BE12" s="711"/>
      <c r="BF12" s="27"/>
      <c r="BI12"/>
      <c r="BJ12" s="716" t="s">
        <v>26</v>
      </c>
      <c r="BK12" s="717" t="s">
        <v>91</v>
      </c>
      <c r="BL12" s="711">
        <v>0</v>
      </c>
      <c r="BM12" s="711">
        <v>1</v>
      </c>
      <c r="BN12" s="711"/>
      <c r="BO12" s="711"/>
      <c r="BP12" s="711"/>
      <c r="BQ12" s="711"/>
      <c r="BR12" s="711"/>
      <c r="BS12" s="711"/>
      <c r="BT12" s="711"/>
      <c r="BU12" s="711"/>
      <c r="BV12" s="711"/>
      <c r="BW12" s="711"/>
      <c r="BX12" s="711">
        <v>4</v>
      </c>
      <c r="BY12" s="711">
        <v>5</v>
      </c>
      <c r="BZ12" s="711"/>
      <c r="CC12"/>
      <c r="CD12" s="709" t="s">
        <v>239</v>
      </c>
      <c r="CE12" s="709"/>
      <c r="CF12" s="711">
        <v>1</v>
      </c>
      <c r="CG12" s="711"/>
      <c r="CH12" s="711"/>
      <c r="CI12" s="711"/>
      <c r="CJ12" s="711"/>
      <c r="CK12" s="711"/>
      <c r="CL12" s="711"/>
      <c r="CM12" s="711"/>
      <c r="CN12"/>
      <c r="CO12"/>
      <c r="CP12" s="709">
        <v>4</v>
      </c>
      <c r="CQ12" s="709" t="s">
        <v>200</v>
      </c>
      <c r="CR12" s="711"/>
      <c r="CS12" s="711">
        <v>1</v>
      </c>
      <c r="CT12" s="711"/>
      <c r="CU12" s="711"/>
      <c r="CV12" s="711"/>
      <c r="CW12" s="711"/>
      <c r="CX12" s="711"/>
      <c r="CY12" s="711"/>
      <c r="CZ12" s="711"/>
      <c r="DA12" s="711"/>
      <c r="DD12"/>
      <c r="DE12" s="709" t="s">
        <v>19</v>
      </c>
      <c r="DF12" s="718" t="s">
        <v>91</v>
      </c>
      <c r="DG12" s="711">
        <v>2</v>
      </c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</row>
    <row r="13" spans="1:139" s="700" customFormat="1">
      <c r="A13" s="716"/>
      <c r="B13" s="716"/>
      <c r="C13" s="716"/>
      <c r="D13" s="717" t="s">
        <v>92</v>
      </c>
      <c r="E13" s="711"/>
      <c r="F13" s="711"/>
      <c r="G13" s="711"/>
      <c r="H13" s="711"/>
      <c r="I13" s="711"/>
      <c r="J13" s="711"/>
      <c r="K13" s="711"/>
      <c r="L13" s="711"/>
      <c r="M13" s="711"/>
      <c r="N13" s="711"/>
      <c r="O13" s="711">
        <v>8</v>
      </c>
      <c r="P13" s="711">
        <v>4</v>
      </c>
      <c r="Q13" s="711"/>
      <c r="R13" s="699"/>
      <c r="T13" s="716"/>
      <c r="U13" s="716"/>
      <c r="V13" s="717" t="s">
        <v>92</v>
      </c>
      <c r="W13" s="711"/>
      <c r="X13" s="711"/>
      <c r="Y13" s="711"/>
      <c r="Z13" s="711"/>
      <c r="AA13" s="711"/>
      <c r="AB13" s="711"/>
      <c r="AC13" s="711"/>
      <c r="AD13" s="711"/>
      <c r="AE13" s="711"/>
      <c r="AF13" s="711"/>
      <c r="AG13" s="711"/>
      <c r="AH13" s="711"/>
      <c r="AI13" s="711">
        <v>8</v>
      </c>
      <c r="AJ13" s="711">
        <v>4</v>
      </c>
      <c r="AK13" s="711"/>
      <c r="AL13" s="27"/>
      <c r="AO13" s="716"/>
      <c r="AP13" s="717" t="s">
        <v>92</v>
      </c>
      <c r="AQ13" s="711"/>
      <c r="AR13" s="711"/>
      <c r="AS13" s="711">
        <v>0</v>
      </c>
      <c r="AT13" s="711">
        <v>1</v>
      </c>
      <c r="AU13" s="711"/>
      <c r="AV13" s="711"/>
      <c r="AW13" s="711">
        <v>0</v>
      </c>
      <c r="AX13" s="711">
        <v>1</v>
      </c>
      <c r="AY13" s="711"/>
      <c r="AZ13" s="711"/>
      <c r="BA13" s="711"/>
      <c r="BB13" s="711"/>
      <c r="BC13" s="711"/>
      <c r="BD13" s="711">
        <v>2</v>
      </c>
      <c r="BE13" s="711">
        <v>1</v>
      </c>
      <c r="BF13" s="27"/>
      <c r="BI13"/>
      <c r="BJ13" s="716"/>
      <c r="BK13" s="717" t="s">
        <v>92</v>
      </c>
      <c r="BL13" s="711"/>
      <c r="BM13" s="711"/>
      <c r="BN13" s="711">
        <v>0</v>
      </c>
      <c r="BO13" s="711">
        <v>1</v>
      </c>
      <c r="BP13" s="711"/>
      <c r="BQ13" s="711"/>
      <c r="BR13" s="711">
        <v>0</v>
      </c>
      <c r="BS13" s="711">
        <v>1</v>
      </c>
      <c r="BT13" s="711"/>
      <c r="BU13" s="711"/>
      <c r="BV13" s="711"/>
      <c r="BW13" s="711"/>
      <c r="BX13" s="711"/>
      <c r="BY13" s="711">
        <v>2</v>
      </c>
      <c r="BZ13" s="711">
        <v>1</v>
      </c>
      <c r="CC13" s="709">
        <v>3</v>
      </c>
      <c r="CD13" s="709" t="s">
        <v>44</v>
      </c>
      <c r="CE13" s="718" t="s">
        <v>91</v>
      </c>
      <c r="CF13" s="711">
        <v>2</v>
      </c>
      <c r="CG13" s="711">
        <v>1</v>
      </c>
      <c r="CH13" s="711">
        <v>1</v>
      </c>
      <c r="CI13" s="711">
        <v>1</v>
      </c>
      <c r="CJ13" s="711">
        <v>0</v>
      </c>
      <c r="CK13" s="711">
        <v>1</v>
      </c>
      <c r="CL13" s="711">
        <v>1</v>
      </c>
      <c r="CM13" s="711">
        <v>0</v>
      </c>
      <c r="CN13"/>
      <c r="CO13"/>
      <c r="CP13" s="709">
        <v>5</v>
      </c>
      <c r="CQ13" s="709" t="s">
        <v>23</v>
      </c>
      <c r="CR13" s="711"/>
      <c r="CS13" s="711">
        <v>1</v>
      </c>
      <c r="CT13" s="711"/>
      <c r="CU13" s="711"/>
      <c r="CV13" s="711"/>
      <c r="CW13" s="711"/>
      <c r="CX13" s="711"/>
      <c r="CY13" s="711"/>
      <c r="CZ13" s="711"/>
      <c r="DA13" s="711"/>
      <c r="DD13"/>
      <c r="DE13"/>
      <c r="DF13" s="718" t="s">
        <v>92</v>
      </c>
      <c r="DG13" s="711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</row>
    <row r="14" spans="1:139" s="700" customFormat="1">
      <c r="A14" s="716"/>
      <c r="B14" s="716"/>
      <c r="C14" s="716" t="s">
        <v>125</v>
      </c>
      <c r="D14" s="716"/>
      <c r="E14" s="715">
        <v>0</v>
      </c>
      <c r="F14" s="715">
        <v>1</v>
      </c>
      <c r="G14" s="715">
        <v>0</v>
      </c>
      <c r="H14" s="715">
        <v>1</v>
      </c>
      <c r="I14" s="715">
        <v>0</v>
      </c>
      <c r="J14" s="715">
        <v>1</v>
      </c>
      <c r="K14" s="715">
        <v>0</v>
      </c>
      <c r="L14" s="715">
        <v>1</v>
      </c>
      <c r="M14" s="715"/>
      <c r="N14" s="715"/>
      <c r="O14" s="715">
        <v>10</v>
      </c>
      <c r="P14" s="715">
        <v>5</v>
      </c>
      <c r="Q14" s="715">
        <v>2</v>
      </c>
      <c r="R14" s="699"/>
      <c r="T14" s="716"/>
      <c r="U14" s="716" t="s">
        <v>125</v>
      </c>
      <c r="V14" s="716"/>
      <c r="W14" s="715">
        <v>0</v>
      </c>
      <c r="X14" s="715">
        <v>1</v>
      </c>
      <c r="Y14" s="715">
        <v>0</v>
      </c>
      <c r="Z14" s="715">
        <v>1</v>
      </c>
      <c r="AA14" s="715">
        <v>0</v>
      </c>
      <c r="AB14" s="715">
        <v>1</v>
      </c>
      <c r="AC14" s="715">
        <v>0</v>
      </c>
      <c r="AD14" s="715">
        <v>1</v>
      </c>
      <c r="AE14" s="715"/>
      <c r="AF14" s="715"/>
      <c r="AG14" s="715">
        <v>1</v>
      </c>
      <c r="AH14" s="715">
        <v>0</v>
      </c>
      <c r="AI14" s="715">
        <v>10</v>
      </c>
      <c r="AJ14" s="715">
        <v>5</v>
      </c>
      <c r="AK14" s="715">
        <v>2</v>
      </c>
      <c r="AL14" s="699"/>
      <c r="AO14" s="716" t="s">
        <v>217</v>
      </c>
      <c r="AP14" s="716"/>
      <c r="AQ14" s="715">
        <v>0</v>
      </c>
      <c r="AR14" s="715">
        <v>1</v>
      </c>
      <c r="AS14" s="715">
        <v>0</v>
      </c>
      <c r="AT14" s="715">
        <v>1</v>
      </c>
      <c r="AU14" s="715"/>
      <c r="AV14" s="715"/>
      <c r="AW14" s="715">
        <v>0</v>
      </c>
      <c r="AX14" s="715">
        <v>1</v>
      </c>
      <c r="AY14" s="715"/>
      <c r="AZ14" s="715"/>
      <c r="BA14" s="715"/>
      <c r="BB14" s="715"/>
      <c r="BC14" s="715">
        <v>4</v>
      </c>
      <c r="BD14" s="715">
        <v>9</v>
      </c>
      <c r="BE14" s="715">
        <v>1</v>
      </c>
      <c r="BF14" s="699"/>
      <c r="BI14"/>
      <c r="BJ14" s="716" t="s">
        <v>217</v>
      </c>
      <c r="BK14" s="716"/>
      <c r="BL14" s="715">
        <v>0</v>
      </c>
      <c r="BM14" s="715">
        <v>1</v>
      </c>
      <c r="BN14" s="715">
        <v>0</v>
      </c>
      <c r="BO14" s="715">
        <v>1</v>
      </c>
      <c r="BP14" s="715"/>
      <c r="BQ14" s="715"/>
      <c r="BR14" s="715">
        <v>0</v>
      </c>
      <c r="BS14" s="715">
        <v>1</v>
      </c>
      <c r="BT14" s="715"/>
      <c r="BU14" s="715"/>
      <c r="BV14" s="715"/>
      <c r="BW14" s="715"/>
      <c r="BX14" s="715">
        <v>4</v>
      </c>
      <c r="BY14" s="715">
        <v>7</v>
      </c>
      <c r="BZ14" s="715">
        <v>1</v>
      </c>
      <c r="CC14"/>
      <c r="CD14"/>
      <c r="CE14" s="718" t="s">
        <v>92</v>
      </c>
      <c r="CF14" s="711">
        <v>1</v>
      </c>
      <c r="CG14" s="711">
        <v>2</v>
      </c>
      <c r="CH14" s="711"/>
      <c r="CI14" s="711"/>
      <c r="CJ14" s="711"/>
      <c r="CK14" s="711"/>
      <c r="CL14" s="711"/>
      <c r="CM14" s="711"/>
      <c r="CN14"/>
      <c r="CO14"/>
      <c r="CP14" s="709">
        <v>6</v>
      </c>
      <c r="CQ14" s="709" t="s">
        <v>27</v>
      </c>
      <c r="CR14" s="711"/>
      <c r="CS14" s="711">
        <v>1</v>
      </c>
      <c r="CT14" s="711">
        <v>1</v>
      </c>
      <c r="CU14" s="711">
        <v>1</v>
      </c>
      <c r="CV14" s="711">
        <v>1</v>
      </c>
      <c r="CW14" s="711">
        <v>0</v>
      </c>
      <c r="CX14" s="711">
        <v>1</v>
      </c>
      <c r="CY14" s="711"/>
      <c r="CZ14" s="711"/>
      <c r="DA14" s="711"/>
      <c r="DD14"/>
      <c r="DE14" s="709" t="s">
        <v>111</v>
      </c>
      <c r="DF14" s="709"/>
      <c r="DG14" s="711">
        <v>2</v>
      </c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</row>
    <row r="15" spans="1:139" s="700" customFormat="1">
      <c r="A15" s="716"/>
      <c r="B15" s="716"/>
      <c r="C15" s="716" t="s">
        <v>35</v>
      </c>
      <c r="D15" s="717" t="s">
        <v>91</v>
      </c>
      <c r="E15" s="711"/>
      <c r="F15" s="711"/>
      <c r="G15" s="711"/>
      <c r="H15" s="711"/>
      <c r="I15" s="711">
        <v>0</v>
      </c>
      <c r="J15" s="711">
        <v>1</v>
      </c>
      <c r="K15" s="711"/>
      <c r="L15" s="711"/>
      <c r="M15" s="711"/>
      <c r="N15" s="711"/>
      <c r="O15" s="711"/>
      <c r="P15" s="711"/>
      <c r="Q15" s="711"/>
      <c r="R15" s="699"/>
      <c r="T15" s="716"/>
      <c r="U15" s="716" t="s">
        <v>35</v>
      </c>
      <c r="V15" s="717" t="s">
        <v>91</v>
      </c>
      <c r="W15" s="711"/>
      <c r="X15" s="711"/>
      <c r="Y15" s="711"/>
      <c r="Z15" s="711"/>
      <c r="AA15" s="711">
        <v>0</v>
      </c>
      <c r="AB15" s="711">
        <v>1</v>
      </c>
      <c r="AC15" s="711"/>
      <c r="AD15" s="711"/>
      <c r="AE15" s="711"/>
      <c r="AF15" s="711"/>
      <c r="AG15" s="711">
        <v>1</v>
      </c>
      <c r="AH15" s="711">
        <v>0</v>
      </c>
      <c r="AI15" s="711"/>
      <c r="AJ15" s="711">
        <v>1</v>
      </c>
      <c r="AK15" s="711"/>
      <c r="AL15" s="27"/>
      <c r="AO15" s="716" t="s">
        <v>33</v>
      </c>
      <c r="AP15" s="717" t="s">
        <v>91</v>
      </c>
      <c r="AQ15" s="711">
        <v>0</v>
      </c>
      <c r="AR15" s="711">
        <v>1</v>
      </c>
      <c r="AS15" s="711">
        <v>0</v>
      </c>
      <c r="AT15" s="711">
        <v>1</v>
      </c>
      <c r="AU15" s="711">
        <v>0</v>
      </c>
      <c r="AV15" s="711">
        <v>1</v>
      </c>
      <c r="AW15" s="711">
        <v>0</v>
      </c>
      <c r="AX15" s="711">
        <v>1</v>
      </c>
      <c r="AY15" s="711"/>
      <c r="AZ15" s="711"/>
      <c r="BA15" s="711">
        <v>2</v>
      </c>
      <c r="BB15" s="711">
        <v>0</v>
      </c>
      <c r="BC15" s="711">
        <v>2</v>
      </c>
      <c r="BD15" s="711">
        <v>2</v>
      </c>
      <c r="BE15" s="711">
        <v>1</v>
      </c>
      <c r="BF15" s="27"/>
      <c r="BI15"/>
      <c r="BJ15" s="716" t="s">
        <v>33</v>
      </c>
      <c r="BK15" s="717" t="s">
        <v>91</v>
      </c>
      <c r="BL15" s="711">
        <v>0</v>
      </c>
      <c r="BM15" s="711">
        <v>1</v>
      </c>
      <c r="BN15" s="711">
        <v>0</v>
      </c>
      <c r="BO15" s="711">
        <v>1</v>
      </c>
      <c r="BP15" s="711">
        <v>0</v>
      </c>
      <c r="BQ15" s="711">
        <v>1</v>
      </c>
      <c r="BR15" s="711">
        <v>0</v>
      </c>
      <c r="BS15" s="711">
        <v>1</v>
      </c>
      <c r="BT15" s="711"/>
      <c r="BU15" s="711"/>
      <c r="BV15" s="711">
        <v>1</v>
      </c>
      <c r="BW15" s="711">
        <v>0</v>
      </c>
      <c r="BX15" s="711">
        <v>1</v>
      </c>
      <c r="BY15" s="711">
        <v>1</v>
      </c>
      <c r="BZ15" s="711">
        <v>1</v>
      </c>
      <c r="CC15"/>
      <c r="CD15" s="709" t="s">
        <v>230</v>
      </c>
      <c r="CE15" s="709"/>
      <c r="CF15" s="711">
        <v>3</v>
      </c>
      <c r="CG15" s="711">
        <v>3</v>
      </c>
      <c r="CH15" s="711">
        <v>1</v>
      </c>
      <c r="CI15" s="711">
        <v>1</v>
      </c>
      <c r="CJ15" s="711">
        <v>0</v>
      </c>
      <c r="CK15" s="711">
        <v>1</v>
      </c>
      <c r="CL15" s="711">
        <v>1</v>
      </c>
      <c r="CM15" s="711">
        <v>0</v>
      </c>
      <c r="CN15"/>
      <c r="CO15"/>
      <c r="CP15" s="709">
        <v>7</v>
      </c>
      <c r="CQ15" s="709" t="s">
        <v>40</v>
      </c>
      <c r="CR15" s="711">
        <v>1</v>
      </c>
      <c r="CS15" s="711">
        <v>1</v>
      </c>
      <c r="CT15" s="711">
        <v>1</v>
      </c>
      <c r="CU15" s="711">
        <v>1</v>
      </c>
      <c r="CV15" s="711">
        <v>1</v>
      </c>
      <c r="CW15" s="711">
        <v>0</v>
      </c>
      <c r="CX15" s="711">
        <v>1</v>
      </c>
      <c r="CY15" s="711"/>
      <c r="CZ15" s="711"/>
      <c r="DA15" s="711"/>
      <c r="DD15" s="709" t="s">
        <v>133</v>
      </c>
      <c r="DE15" s="709"/>
      <c r="DF15" s="709"/>
      <c r="DG15" s="711">
        <v>15</v>
      </c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</row>
    <row r="16" spans="1:139" s="700" customFormat="1">
      <c r="A16" s="716"/>
      <c r="B16" s="716"/>
      <c r="C16" s="716" t="s">
        <v>126</v>
      </c>
      <c r="D16" s="716"/>
      <c r="E16" s="715"/>
      <c r="F16" s="715"/>
      <c r="G16" s="715"/>
      <c r="H16" s="715"/>
      <c r="I16" s="715">
        <v>0</v>
      </c>
      <c r="J16" s="715">
        <v>1</v>
      </c>
      <c r="K16" s="715"/>
      <c r="L16" s="715"/>
      <c r="M16" s="715"/>
      <c r="N16" s="715"/>
      <c r="O16" s="715"/>
      <c r="P16" s="715"/>
      <c r="Q16" s="715"/>
      <c r="R16" s="699"/>
      <c r="T16" s="716"/>
      <c r="U16" s="716" t="s">
        <v>126</v>
      </c>
      <c r="V16" s="716"/>
      <c r="W16" s="715"/>
      <c r="X16" s="715"/>
      <c r="Y16" s="715"/>
      <c r="Z16" s="715"/>
      <c r="AA16" s="715">
        <v>0</v>
      </c>
      <c r="AB16" s="715">
        <v>1</v>
      </c>
      <c r="AC16" s="715"/>
      <c r="AD16" s="715"/>
      <c r="AE16" s="715"/>
      <c r="AF16" s="715"/>
      <c r="AG16" s="715">
        <v>1</v>
      </c>
      <c r="AH16" s="715">
        <v>0</v>
      </c>
      <c r="AI16" s="715"/>
      <c r="AJ16" s="715">
        <v>1</v>
      </c>
      <c r="AK16" s="715"/>
      <c r="AL16" s="699"/>
      <c r="AO16" s="716"/>
      <c r="AP16" s="717" t="s">
        <v>92</v>
      </c>
      <c r="AQ16" s="711"/>
      <c r="AR16" s="711"/>
      <c r="AS16" s="711"/>
      <c r="AT16" s="711"/>
      <c r="AU16" s="711"/>
      <c r="AV16" s="711"/>
      <c r="AW16" s="711"/>
      <c r="AX16" s="711"/>
      <c r="AY16" s="711"/>
      <c r="AZ16" s="711"/>
      <c r="BA16" s="711"/>
      <c r="BB16" s="711"/>
      <c r="BC16" s="711"/>
      <c r="BD16" s="711">
        <v>1</v>
      </c>
      <c r="BE16" s="711"/>
      <c r="BF16" s="27"/>
      <c r="BI16"/>
      <c r="BJ16" s="716" t="s">
        <v>218</v>
      </c>
      <c r="BK16" s="716"/>
      <c r="BL16" s="715">
        <v>0</v>
      </c>
      <c r="BM16" s="715">
        <v>1</v>
      </c>
      <c r="BN16" s="715">
        <v>0</v>
      </c>
      <c r="BO16" s="715">
        <v>1</v>
      </c>
      <c r="BP16" s="715">
        <v>0</v>
      </c>
      <c r="BQ16" s="715">
        <v>1</v>
      </c>
      <c r="BR16" s="715">
        <v>0</v>
      </c>
      <c r="BS16" s="715">
        <v>1</v>
      </c>
      <c r="BT16" s="715"/>
      <c r="BU16" s="715"/>
      <c r="BV16" s="715">
        <v>1</v>
      </c>
      <c r="BW16" s="715">
        <v>0</v>
      </c>
      <c r="BX16" s="715">
        <v>1</v>
      </c>
      <c r="BY16" s="715">
        <v>1</v>
      </c>
      <c r="BZ16" s="715">
        <v>1</v>
      </c>
      <c r="CC16" s="709">
        <v>4</v>
      </c>
      <c r="CD16" s="709" t="s">
        <v>200</v>
      </c>
      <c r="CE16" s="718" t="s">
        <v>92</v>
      </c>
      <c r="CF16" s="711"/>
      <c r="CG16" s="711">
        <v>1</v>
      </c>
      <c r="CH16" s="711"/>
      <c r="CI16" s="711"/>
      <c r="CJ16" s="711"/>
      <c r="CK16" s="711"/>
      <c r="CL16" s="711"/>
      <c r="CM16" s="711"/>
      <c r="CN16"/>
      <c r="CO16"/>
      <c r="CP16" s="709">
        <v>8</v>
      </c>
      <c r="CQ16" s="709" t="s">
        <v>36</v>
      </c>
      <c r="CR16" s="711"/>
      <c r="CS16" s="711">
        <v>1</v>
      </c>
      <c r="CT16" s="711">
        <v>1</v>
      </c>
      <c r="CU16" s="711">
        <v>1</v>
      </c>
      <c r="CV16" s="711">
        <v>1</v>
      </c>
      <c r="CW16" s="711">
        <v>0</v>
      </c>
      <c r="CX16" s="711">
        <v>1</v>
      </c>
      <c r="CY16" s="711"/>
      <c r="CZ16" s="711"/>
      <c r="DA16" s="711"/>
      <c r="DD16" s="709" t="s">
        <v>46</v>
      </c>
      <c r="DE16" s="709" t="s">
        <v>16</v>
      </c>
      <c r="DF16" s="718" t="s">
        <v>91</v>
      </c>
      <c r="DG16" s="711">
        <v>5</v>
      </c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</row>
    <row r="17" spans="1:139" s="700" customFormat="1">
      <c r="A17" s="716"/>
      <c r="B17" s="716"/>
      <c r="C17" s="716" t="s">
        <v>34</v>
      </c>
      <c r="D17" s="717" t="s">
        <v>91</v>
      </c>
      <c r="E17" s="711">
        <v>0</v>
      </c>
      <c r="F17" s="711">
        <v>1</v>
      </c>
      <c r="G17" s="711">
        <v>0</v>
      </c>
      <c r="H17" s="711">
        <v>1</v>
      </c>
      <c r="I17" s="711"/>
      <c r="J17" s="711"/>
      <c r="K17" s="711">
        <v>0</v>
      </c>
      <c r="L17" s="711">
        <v>1</v>
      </c>
      <c r="M17" s="711"/>
      <c r="N17" s="711"/>
      <c r="O17" s="711">
        <v>1</v>
      </c>
      <c r="P17" s="711">
        <v>1</v>
      </c>
      <c r="Q17" s="711">
        <v>1</v>
      </c>
      <c r="R17" s="699"/>
      <c r="T17" s="716"/>
      <c r="U17" s="716" t="s">
        <v>34</v>
      </c>
      <c r="V17" s="717" t="s">
        <v>91</v>
      </c>
      <c r="W17" s="711">
        <v>0</v>
      </c>
      <c r="X17" s="711">
        <v>1</v>
      </c>
      <c r="Y17" s="711">
        <v>0</v>
      </c>
      <c r="Z17" s="711">
        <v>1</v>
      </c>
      <c r="AA17" s="711">
        <v>0</v>
      </c>
      <c r="AB17" s="711">
        <v>1</v>
      </c>
      <c r="AC17" s="711">
        <v>0</v>
      </c>
      <c r="AD17" s="711">
        <v>1</v>
      </c>
      <c r="AE17" s="711"/>
      <c r="AF17" s="711"/>
      <c r="AG17" s="711">
        <v>1</v>
      </c>
      <c r="AH17" s="711">
        <v>0</v>
      </c>
      <c r="AI17" s="711">
        <v>2</v>
      </c>
      <c r="AJ17" s="711">
        <v>1</v>
      </c>
      <c r="AK17" s="711">
        <v>1</v>
      </c>
      <c r="AL17" s="27"/>
      <c r="AO17" s="716" t="s">
        <v>218</v>
      </c>
      <c r="AP17" s="716"/>
      <c r="AQ17" s="715">
        <v>0</v>
      </c>
      <c r="AR17" s="715">
        <v>1</v>
      </c>
      <c r="AS17" s="715">
        <v>0</v>
      </c>
      <c r="AT17" s="715">
        <v>1</v>
      </c>
      <c r="AU17" s="715">
        <v>0</v>
      </c>
      <c r="AV17" s="715">
        <v>1</v>
      </c>
      <c r="AW17" s="715">
        <v>0</v>
      </c>
      <c r="AX17" s="715">
        <v>1</v>
      </c>
      <c r="AY17" s="715"/>
      <c r="AZ17" s="715"/>
      <c r="BA17" s="715">
        <v>2</v>
      </c>
      <c r="BB17" s="715">
        <v>0</v>
      </c>
      <c r="BC17" s="715">
        <v>2</v>
      </c>
      <c r="BD17" s="715">
        <v>3</v>
      </c>
      <c r="BE17" s="715">
        <v>1</v>
      </c>
      <c r="BF17" s="699"/>
      <c r="BI17"/>
      <c r="BJ17" s="716" t="s">
        <v>38</v>
      </c>
      <c r="BK17" s="717" t="s">
        <v>91</v>
      </c>
      <c r="BL17" s="711"/>
      <c r="BM17" s="711"/>
      <c r="BN17" s="711"/>
      <c r="BO17" s="711"/>
      <c r="BP17" s="711"/>
      <c r="BQ17" s="711"/>
      <c r="BR17" s="711"/>
      <c r="BS17" s="711"/>
      <c r="BT17" s="711"/>
      <c r="BU17" s="711"/>
      <c r="BV17" s="711"/>
      <c r="BW17" s="711"/>
      <c r="BX17" s="711">
        <v>1</v>
      </c>
      <c r="BY17" s="711"/>
      <c r="BZ17" s="711"/>
      <c r="CC17"/>
      <c r="CD17" s="709" t="s">
        <v>240</v>
      </c>
      <c r="CE17" s="709"/>
      <c r="CF17" s="711"/>
      <c r="CG17" s="711">
        <v>1</v>
      </c>
      <c r="CH17" s="711"/>
      <c r="CI17" s="711"/>
      <c r="CJ17" s="711"/>
      <c r="CK17" s="711"/>
      <c r="CL17" s="711"/>
      <c r="CM17" s="711"/>
      <c r="CN17"/>
      <c r="CO17"/>
      <c r="CP17" s="709">
        <v>9</v>
      </c>
      <c r="CQ17" s="709" t="s">
        <v>37</v>
      </c>
      <c r="CR17" s="711">
        <v>1</v>
      </c>
      <c r="CS17" s="711">
        <v>1</v>
      </c>
      <c r="CT17" s="711"/>
      <c r="CU17" s="711"/>
      <c r="CV17" s="711"/>
      <c r="CW17" s="711"/>
      <c r="CX17" s="711"/>
      <c r="CY17" s="711"/>
      <c r="CZ17" s="711"/>
      <c r="DA17" s="711"/>
      <c r="DD17"/>
      <c r="DE17"/>
      <c r="DF17" s="718" t="s">
        <v>92</v>
      </c>
      <c r="DG17" s="711">
        <v>2</v>
      </c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</row>
    <row r="18" spans="1:139" s="700" customFormat="1">
      <c r="A18" s="716"/>
      <c r="B18" s="716"/>
      <c r="C18" s="716" t="s">
        <v>127</v>
      </c>
      <c r="D18" s="716"/>
      <c r="E18" s="715">
        <v>0</v>
      </c>
      <c r="F18" s="715">
        <v>1</v>
      </c>
      <c r="G18" s="715">
        <v>0</v>
      </c>
      <c r="H18" s="715">
        <v>1</v>
      </c>
      <c r="I18" s="715"/>
      <c r="J18" s="715"/>
      <c r="K18" s="715">
        <v>0</v>
      </c>
      <c r="L18" s="715">
        <v>1</v>
      </c>
      <c r="M18" s="715"/>
      <c r="N18" s="715"/>
      <c r="O18" s="715">
        <v>1</v>
      </c>
      <c r="P18" s="715">
        <v>1</v>
      </c>
      <c r="Q18" s="715">
        <v>1</v>
      </c>
      <c r="R18" s="699"/>
      <c r="T18" s="716"/>
      <c r="U18" s="716"/>
      <c r="V18" s="717" t="s">
        <v>92</v>
      </c>
      <c r="W18" s="711"/>
      <c r="X18" s="711"/>
      <c r="Y18" s="711"/>
      <c r="Z18" s="711"/>
      <c r="AA18" s="711"/>
      <c r="AB18" s="711"/>
      <c r="AC18" s="711"/>
      <c r="AD18" s="711"/>
      <c r="AE18" s="711"/>
      <c r="AF18" s="711"/>
      <c r="AG18" s="711"/>
      <c r="AH18" s="711"/>
      <c r="AI18" s="711"/>
      <c r="AJ18" s="711">
        <v>1</v>
      </c>
      <c r="AK18" s="711"/>
      <c r="AL18" s="27"/>
      <c r="AO18" s="716" t="s">
        <v>38</v>
      </c>
      <c r="AP18" s="717" t="s">
        <v>91</v>
      </c>
      <c r="AQ18" s="711"/>
      <c r="AR18" s="711"/>
      <c r="AS18" s="711">
        <v>1</v>
      </c>
      <c r="AT18" s="711">
        <v>0</v>
      </c>
      <c r="AU18" s="711">
        <v>0</v>
      </c>
      <c r="AV18" s="711">
        <v>1</v>
      </c>
      <c r="AW18" s="711">
        <v>0</v>
      </c>
      <c r="AX18" s="711">
        <v>1</v>
      </c>
      <c r="AY18" s="711"/>
      <c r="AZ18" s="711"/>
      <c r="BA18" s="711">
        <v>0</v>
      </c>
      <c r="BB18" s="711">
        <v>2</v>
      </c>
      <c r="BC18" s="711">
        <v>1</v>
      </c>
      <c r="BD18" s="711"/>
      <c r="BE18" s="711">
        <v>1</v>
      </c>
      <c r="BF18" s="27"/>
      <c r="BI18"/>
      <c r="BJ18" s="716"/>
      <c r="BK18" s="717" t="s">
        <v>92</v>
      </c>
      <c r="BL18" s="711"/>
      <c r="BM18" s="711"/>
      <c r="BN18" s="711"/>
      <c r="BO18" s="711"/>
      <c r="BP18" s="711"/>
      <c r="BQ18" s="711"/>
      <c r="BR18" s="711"/>
      <c r="BS18" s="711"/>
      <c r="BT18" s="711">
        <v>0</v>
      </c>
      <c r="BU18" s="711">
        <v>1</v>
      </c>
      <c r="BV18" s="711"/>
      <c r="BW18" s="711"/>
      <c r="BX18" s="711">
        <v>1</v>
      </c>
      <c r="BY18" s="711">
        <v>1</v>
      </c>
      <c r="BZ18" s="711"/>
      <c r="CC18" s="709">
        <v>5</v>
      </c>
      <c r="CD18" s="709" t="s">
        <v>23</v>
      </c>
      <c r="CE18" s="718" t="s">
        <v>91</v>
      </c>
      <c r="CF18" s="711"/>
      <c r="CG18" s="711">
        <v>1</v>
      </c>
      <c r="CH18" s="711"/>
      <c r="CI18" s="711"/>
      <c r="CJ18" s="711"/>
      <c r="CK18" s="711"/>
      <c r="CL18" s="711"/>
      <c r="CM18" s="711"/>
      <c r="CN18"/>
      <c r="CO18"/>
      <c r="CP18" s="709">
        <v>10</v>
      </c>
      <c r="CQ18" s="709" t="s">
        <v>30</v>
      </c>
      <c r="CR18" s="711">
        <v>1</v>
      </c>
      <c r="CS18" s="711">
        <v>1</v>
      </c>
      <c r="CT18" s="711"/>
      <c r="CU18" s="711"/>
      <c r="CV18" s="711"/>
      <c r="CW18" s="711"/>
      <c r="CX18" s="711"/>
      <c r="CY18" s="711"/>
      <c r="CZ18" s="711"/>
      <c r="DA18" s="711"/>
      <c r="DD18"/>
      <c r="DE18" s="709" t="s">
        <v>110</v>
      </c>
      <c r="DF18" s="709"/>
      <c r="DG18" s="711">
        <v>7</v>
      </c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</row>
    <row r="19" spans="1:139" s="700" customFormat="1">
      <c r="A19" s="716"/>
      <c r="B19" s="716"/>
      <c r="C19" s="716" t="s">
        <v>22</v>
      </c>
      <c r="D19" s="717" t="s">
        <v>91</v>
      </c>
      <c r="E19" s="711"/>
      <c r="F19" s="711"/>
      <c r="G19" s="711"/>
      <c r="H19" s="711"/>
      <c r="I19" s="711"/>
      <c r="J19" s="711"/>
      <c r="K19" s="711"/>
      <c r="L19" s="711"/>
      <c r="M19" s="711">
        <v>0</v>
      </c>
      <c r="N19" s="711">
        <v>1</v>
      </c>
      <c r="O19" s="711"/>
      <c r="P19" s="711">
        <v>1</v>
      </c>
      <c r="Q19" s="711"/>
      <c r="R19" s="699"/>
      <c r="T19" s="716"/>
      <c r="U19" s="716" t="s">
        <v>127</v>
      </c>
      <c r="V19" s="716"/>
      <c r="W19" s="715">
        <v>0</v>
      </c>
      <c r="X19" s="715">
        <v>1</v>
      </c>
      <c r="Y19" s="715">
        <v>0</v>
      </c>
      <c r="Z19" s="715">
        <v>1</v>
      </c>
      <c r="AA19" s="715">
        <v>0</v>
      </c>
      <c r="AB19" s="715">
        <v>1</v>
      </c>
      <c r="AC19" s="715">
        <v>0</v>
      </c>
      <c r="AD19" s="715">
        <v>1</v>
      </c>
      <c r="AE19" s="715"/>
      <c r="AF19" s="715"/>
      <c r="AG19" s="715">
        <v>1</v>
      </c>
      <c r="AH19" s="715">
        <v>0</v>
      </c>
      <c r="AI19" s="715">
        <v>2</v>
      </c>
      <c r="AJ19" s="715">
        <v>2</v>
      </c>
      <c r="AK19" s="715">
        <v>1</v>
      </c>
      <c r="AL19" s="699"/>
      <c r="AO19" s="716"/>
      <c r="AP19" s="717" t="s">
        <v>92</v>
      </c>
      <c r="AQ19" s="711">
        <v>0</v>
      </c>
      <c r="AR19" s="711">
        <v>1</v>
      </c>
      <c r="AS19" s="711">
        <v>0</v>
      </c>
      <c r="AT19" s="711">
        <v>1</v>
      </c>
      <c r="AU19" s="711">
        <v>0</v>
      </c>
      <c r="AV19" s="711">
        <v>1</v>
      </c>
      <c r="AW19" s="711">
        <v>0</v>
      </c>
      <c r="AX19" s="711">
        <v>1</v>
      </c>
      <c r="AY19" s="711">
        <v>0</v>
      </c>
      <c r="AZ19" s="711">
        <v>1</v>
      </c>
      <c r="BA19" s="711">
        <v>0</v>
      </c>
      <c r="BB19" s="711">
        <v>1</v>
      </c>
      <c r="BC19" s="711">
        <v>1</v>
      </c>
      <c r="BD19" s="711">
        <v>1</v>
      </c>
      <c r="BE19" s="711">
        <v>1</v>
      </c>
      <c r="BF19" s="27"/>
      <c r="BI19"/>
      <c r="BJ19" s="716" t="s">
        <v>219</v>
      </c>
      <c r="BK19" s="716"/>
      <c r="BL19" s="715"/>
      <c r="BM19" s="715"/>
      <c r="BN19" s="715"/>
      <c r="BO19" s="715"/>
      <c r="BP19" s="715"/>
      <c r="BQ19" s="715"/>
      <c r="BR19" s="715"/>
      <c r="BS19" s="715"/>
      <c r="BT19" s="715">
        <v>0</v>
      </c>
      <c r="BU19" s="715">
        <v>1</v>
      </c>
      <c r="BV19" s="715"/>
      <c r="BW19" s="715"/>
      <c r="BX19" s="715">
        <v>2</v>
      </c>
      <c r="BY19" s="715">
        <v>1</v>
      </c>
      <c r="BZ19" s="715"/>
      <c r="CC19"/>
      <c r="CD19" s="709" t="s">
        <v>227</v>
      </c>
      <c r="CE19" s="709"/>
      <c r="CF19" s="711"/>
      <c r="CG19" s="711">
        <v>1</v>
      </c>
      <c r="CH19" s="711"/>
      <c r="CI19" s="711"/>
      <c r="CJ19" s="711"/>
      <c r="CK19" s="711"/>
      <c r="CL19" s="711"/>
      <c r="CM19" s="711"/>
      <c r="CN19"/>
      <c r="CO19"/>
      <c r="CP19" s="709">
        <v>11</v>
      </c>
      <c r="CQ19" s="709" t="s">
        <v>32</v>
      </c>
      <c r="CR19" s="711"/>
      <c r="CS19" s="711">
        <v>1</v>
      </c>
      <c r="CT19" s="711"/>
      <c r="CU19" s="711"/>
      <c r="CV19" s="711"/>
      <c r="CW19" s="711"/>
      <c r="CX19" s="711"/>
      <c r="CY19" s="711"/>
      <c r="CZ19" s="711"/>
      <c r="DA19" s="711"/>
      <c r="DD19"/>
      <c r="DE19" s="709" t="s">
        <v>19</v>
      </c>
      <c r="DF19" s="718" t="s">
        <v>91</v>
      </c>
      <c r="DG19" s="711">
        <v>1</v>
      </c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</row>
    <row r="20" spans="1:139" s="700" customFormat="1">
      <c r="A20" s="716"/>
      <c r="B20" s="716"/>
      <c r="C20" s="716"/>
      <c r="D20" s="717" t="s">
        <v>92</v>
      </c>
      <c r="E20" s="711"/>
      <c r="F20" s="711"/>
      <c r="G20" s="711"/>
      <c r="H20" s="711"/>
      <c r="I20" s="711"/>
      <c r="J20" s="711"/>
      <c r="K20" s="711"/>
      <c r="L20" s="711"/>
      <c r="M20" s="711"/>
      <c r="N20" s="711"/>
      <c r="O20" s="711"/>
      <c r="P20" s="711">
        <v>1</v>
      </c>
      <c r="Q20" s="711"/>
      <c r="R20" s="699"/>
      <c r="T20" s="716"/>
      <c r="U20" s="716" t="s">
        <v>22</v>
      </c>
      <c r="V20" s="717" t="s">
        <v>91</v>
      </c>
      <c r="W20" s="711"/>
      <c r="X20" s="711"/>
      <c r="Y20" s="711"/>
      <c r="Z20" s="711"/>
      <c r="AA20" s="711"/>
      <c r="AB20" s="711"/>
      <c r="AC20" s="711"/>
      <c r="AD20" s="711"/>
      <c r="AE20" s="711">
        <v>0</v>
      </c>
      <c r="AF20" s="711">
        <v>1</v>
      </c>
      <c r="AG20" s="711"/>
      <c r="AH20" s="711"/>
      <c r="AI20" s="711"/>
      <c r="AJ20" s="711">
        <v>1</v>
      </c>
      <c r="AK20" s="711"/>
      <c r="AL20" s="27"/>
      <c r="AO20" s="716" t="s">
        <v>219</v>
      </c>
      <c r="AP20" s="716"/>
      <c r="AQ20" s="715">
        <v>0</v>
      </c>
      <c r="AR20" s="715">
        <v>1</v>
      </c>
      <c r="AS20" s="715">
        <v>1</v>
      </c>
      <c r="AT20" s="715">
        <v>0.5</v>
      </c>
      <c r="AU20" s="715">
        <v>0</v>
      </c>
      <c r="AV20" s="715">
        <v>1</v>
      </c>
      <c r="AW20" s="715">
        <v>0</v>
      </c>
      <c r="AX20" s="715">
        <v>1</v>
      </c>
      <c r="AY20" s="715">
        <v>0</v>
      </c>
      <c r="AZ20" s="715">
        <v>1</v>
      </c>
      <c r="BA20" s="715">
        <v>0</v>
      </c>
      <c r="BB20" s="715">
        <v>3</v>
      </c>
      <c r="BC20" s="715">
        <v>2</v>
      </c>
      <c r="BD20" s="715">
        <v>1</v>
      </c>
      <c r="BE20" s="715">
        <v>2</v>
      </c>
      <c r="BF20" s="699"/>
      <c r="BI20"/>
      <c r="BJ20" s="716" t="s">
        <v>42</v>
      </c>
      <c r="BK20" s="717" t="s">
        <v>91</v>
      </c>
      <c r="BL20" s="711">
        <v>0</v>
      </c>
      <c r="BM20" s="711">
        <v>1</v>
      </c>
      <c r="BN20" s="711">
        <v>0</v>
      </c>
      <c r="BO20" s="711">
        <v>1</v>
      </c>
      <c r="BP20" s="711">
        <v>0</v>
      </c>
      <c r="BQ20" s="711">
        <v>1</v>
      </c>
      <c r="BR20" s="711">
        <v>0</v>
      </c>
      <c r="BS20" s="711">
        <v>1</v>
      </c>
      <c r="BT20" s="711"/>
      <c r="BU20" s="711"/>
      <c r="BV20" s="711">
        <v>1</v>
      </c>
      <c r="BW20" s="711">
        <v>0</v>
      </c>
      <c r="BX20" s="711">
        <v>2</v>
      </c>
      <c r="BY20" s="711">
        <v>2</v>
      </c>
      <c r="BZ20" s="711">
        <v>6</v>
      </c>
      <c r="CC20" s="709">
        <v>6</v>
      </c>
      <c r="CD20" s="709" t="s">
        <v>27</v>
      </c>
      <c r="CE20" s="718" t="s">
        <v>91</v>
      </c>
      <c r="CF20" s="711"/>
      <c r="CG20" s="711">
        <v>1</v>
      </c>
      <c r="CH20" s="711"/>
      <c r="CI20" s="711"/>
      <c r="CJ20" s="711"/>
      <c r="CK20" s="711"/>
      <c r="CL20" s="711"/>
      <c r="CM20" s="711"/>
      <c r="CN20"/>
      <c r="CO20"/>
      <c r="CP20" s="709">
        <v>14</v>
      </c>
      <c r="CQ20" s="709" t="s">
        <v>205</v>
      </c>
      <c r="CR20" s="711">
        <v>3</v>
      </c>
      <c r="CS20" s="711">
        <v>3</v>
      </c>
      <c r="CT20" s="711"/>
      <c r="CU20" s="711"/>
      <c r="CV20" s="711"/>
      <c r="CW20" s="711"/>
      <c r="CX20" s="711"/>
      <c r="CY20" s="711"/>
      <c r="CZ20" s="711"/>
      <c r="DA20" s="711"/>
      <c r="DD20"/>
      <c r="DE20" s="709" t="s">
        <v>111</v>
      </c>
      <c r="DF20" s="709"/>
      <c r="DG20" s="711">
        <v>1</v>
      </c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</row>
    <row r="21" spans="1:139" s="700" customFormat="1">
      <c r="A21" s="716"/>
      <c r="B21" s="716"/>
      <c r="C21" s="716" t="s">
        <v>128</v>
      </c>
      <c r="D21" s="716"/>
      <c r="E21" s="715"/>
      <c r="F21" s="715"/>
      <c r="G21" s="715"/>
      <c r="H21" s="715"/>
      <c r="I21" s="715"/>
      <c r="J21" s="715"/>
      <c r="K21" s="715"/>
      <c r="L21" s="715"/>
      <c r="M21" s="715">
        <v>0</v>
      </c>
      <c r="N21" s="715">
        <v>1</v>
      </c>
      <c r="O21" s="715"/>
      <c r="P21" s="715">
        <v>2</v>
      </c>
      <c r="Q21" s="715"/>
      <c r="R21" s="699"/>
      <c r="T21" s="716"/>
      <c r="U21" s="716"/>
      <c r="V21" s="717" t="s">
        <v>92</v>
      </c>
      <c r="W21" s="711"/>
      <c r="X21" s="711"/>
      <c r="Y21" s="711"/>
      <c r="Z21" s="711"/>
      <c r="AA21" s="711"/>
      <c r="AB21" s="711"/>
      <c r="AC21" s="711"/>
      <c r="AD21" s="711"/>
      <c r="AE21" s="711"/>
      <c r="AF21" s="711"/>
      <c r="AG21" s="711"/>
      <c r="AH21" s="711"/>
      <c r="AI21" s="711"/>
      <c r="AJ21" s="711">
        <v>1</v>
      </c>
      <c r="AK21" s="711"/>
      <c r="AL21" s="27"/>
      <c r="AO21" s="716" t="s">
        <v>42</v>
      </c>
      <c r="AP21" s="717" t="s">
        <v>91</v>
      </c>
      <c r="AQ21" s="711">
        <v>0</v>
      </c>
      <c r="AR21" s="711">
        <v>1</v>
      </c>
      <c r="AS21" s="711">
        <v>0</v>
      </c>
      <c r="AT21" s="711">
        <v>1</v>
      </c>
      <c r="AU21" s="711">
        <v>0</v>
      </c>
      <c r="AV21" s="711">
        <v>1</v>
      </c>
      <c r="AW21" s="711">
        <v>0</v>
      </c>
      <c r="AX21" s="711">
        <v>1</v>
      </c>
      <c r="AY21" s="711"/>
      <c r="AZ21" s="711"/>
      <c r="BA21" s="711">
        <v>1</v>
      </c>
      <c r="BB21" s="711">
        <v>0</v>
      </c>
      <c r="BC21" s="711">
        <v>2</v>
      </c>
      <c r="BD21" s="711">
        <v>2</v>
      </c>
      <c r="BE21" s="711">
        <v>6</v>
      </c>
      <c r="BF21" s="27"/>
      <c r="BI21"/>
      <c r="BJ21" s="716"/>
      <c r="BK21" s="717" t="s">
        <v>92</v>
      </c>
      <c r="BL21" s="711">
        <v>0</v>
      </c>
      <c r="BM21" s="711">
        <v>1</v>
      </c>
      <c r="BN21" s="711">
        <v>0</v>
      </c>
      <c r="BO21" s="711">
        <v>1</v>
      </c>
      <c r="BP21" s="711"/>
      <c r="BQ21" s="711"/>
      <c r="BR21" s="711">
        <v>0</v>
      </c>
      <c r="BS21" s="711">
        <v>1</v>
      </c>
      <c r="BT21" s="711"/>
      <c r="BU21" s="711"/>
      <c r="BV21" s="711"/>
      <c r="BW21" s="711"/>
      <c r="BX21" s="711">
        <v>8</v>
      </c>
      <c r="BY21" s="711">
        <v>7</v>
      </c>
      <c r="BZ21" s="711">
        <v>3</v>
      </c>
      <c r="CC21"/>
      <c r="CD21"/>
      <c r="CE21" s="718" t="s">
        <v>92</v>
      </c>
      <c r="CF21" s="711"/>
      <c r="CG21" s="711"/>
      <c r="CH21" s="711">
        <v>1</v>
      </c>
      <c r="CI21" s="711">
        <v>1</v>
      </c>
      <c r="CJ21" s="711">
        <v>0</v>
      </c>
      <c r="CK21" s="711">
        <v>1</v>
      </c>
      <c r="CL21" s="711"/>
      <c r="CM21" s="711"/>
      <c r="CN21"/>
      <c r="CO21"/>
      <c r="CP21" s="709">
        <v>15</v>
      </c>
      <c r="CQ21" s="709" t="s">
        <v>41</v>
      </c>
      <c r="CR21" s="711"/>
      <c r="CS21" s="711"/>
      <c r="CT21" s="711">
        <v>1</v>
      </c>
      <c r="CU21" s="711">
        <v>1</v>
      </c>
      <c r="CV21" s="711">
        <v>1</v>
      </c>
      <c r="CW21" s="711">
        <v>1</v>
      </c>
      <c r="CX21" s="711">
        <v>0</v>
      </c>
      <c r="CY21" s="711">
        <v>0</v>
      </c>
      <c r="CZ21" s="711">
        <v>1</v>
      </c>
      <c r="DA21" s="711">
        <v>1</v>
      </c>
      <c r="DD21" s="709" t="s">
        <v>134</v>
      </c>
      <c r="DE21" s="709"/>
      <c r="DF21" s="709"/>
      <c r="DG21" s="711">
        <v>8</v>
      </c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</row>
    <row r="22" spans="1:139" s="700" customFormat="1">
      <c r="A22" s="716"/>
      <c r="B22" s="716"/>
      <c r="C22" s="716" t="s">
        <v>28</v>
      </c>
      <c r="D22" s="717" t="s">
        <v>91</v>
      </c>
      <c r="E22" s="711"/>
      <c r="F22" s="711"/>
      <c r="G22" s="711"/>
      <c r="H22" s="711"/>
      <c r="I22" s="711"/>
      <c r="J22" s="711"/>
      <c r="K22" s="711"/>
      <c r="L22" s="711"/>
      <c r="M22" s="711"/>
      <c r="N22" s="711"/>
      <c r="O22" s="711">
        <v>3</v>
      </c>
      <c r="P22" s="711">
        <v>2</v>
      </c>
      <c r="Q22" s="711"/>
      <c r="R22" s="699"/>
      <c r="T22" s="716"/>
      <c r="U22" s="716" t="s">
        <v>128</v>
      </c>
      <c r="V22" s="716"/>
      <c r="W22" s="715"/>
      <c r="X22" s="715"/>
      <c r="Y22" s="715"/>
      <c r="Z22" s="715"/>
      <c r="AA22" s="715"/>
      <c r="AB22" s="715"/>
      <c r="AC22" s="715"/>
      <c r="AD22" s="715"/>
      <c r="AE22" s="715">
        <v>0</v>
      </c>
      <c r="AF22" s="715">
        <v>1</v>
      </c>
      <c r="AG22" s="715"/>
      <c r="AH22" s="715"/>
      <c r="AI22" s="715"/>
      <c r="AJ22" s="715">
        <v>2</v>
      </c>
      <c r="AK22" s="715"/>
      <c r="AL22" s="699"/>
      <c r="AO22" s="716"/>
      <c r="AP22" s="717" t="s">
        <v>92</v>
      </c>
      <c r="AQ22" s="711">
        <v>0</v>
      </c>
      <c r="AR22" s="711">
        <v>1</v>
      </c>
      <c r="AS22" s="711">
        <v>0</v>
      </c>
      <c r="AT22" s="711">
        <v>1</v>
      </c>
      <c r="AU22" s="711"/>
      <c r="AV22" s="711"/>
      <c r="AW22" s="711">
        <v>0</v>
      </c>
      <c r="AX22" s="711">
        <v>1</v>
      </c>
      <c r="AY22" s="711"/>
      <c r="AZ22" s="711"/>
      <c r="BA22" s="711"/>
      <c r="BB22" s="711"/>
      <c r="BC22" s="711">
        <v>8</v>
      </c>
      <c r="BD22" s="711">
        <v>7</v>
      </c>
      <c r="BE22" s="711">
        <v>3</v>
      </c>
      <c r="BF22" s="27"/>
      <c r="BI22"/>
      <c r="BJ22" s="716" t="s">
        <v>220</v>
      </c>
      <c r="BK22" s="716"/>
      <c r="BL22" s="715">
        <v>0</v>
      </c>
      <c r="BM22" s="715">
        <v>1</v>
      </c>
      <c r="BN22" s="715">
        <v>0</v>
      </c>
      <c r="BO22" s="715">
        <v>1</v>
      </c>
      <c r="BP22" s="715">
        <v>0</v>
      </c>
      <c r="BQ22" s="715">
        <v>1</v>
      </c>
      <c r="BR22" s="715">
        <v>0</v>
      </c>
      <c r="BS22" s="715">
        <v>1</v>
      </c>
      <c r="BT22" s="715"/>
      <c r="BU22" s="715"/>
      <c r="BV22" s="715">
        <v>1</v>
      </c>
      <c r="BW22" s="715">
        <v>0</v>
      </c>
      <c r="BX22" s="715">
        <v>10</v>
      </c>
      <c r="BY22" s="715">
        <v>9</v>
      </c>
      <c r="BZ22" s="715">
        <v>9</v>
      </c>
      <c r="CC22"/>
      <c r="CD22" s="709" t="s">
        <v>234</v>
      </c>
      <c r="CE22" s="709"/>
      <c r="CF22" s="711"/>
      <c r="CG22" s="711">
        <v>1</v>
      </c>
      <c r="CH22" s="711">
        <v>1</v>
      </c>
      <c r="CI22" s="711">
        <v>1</v>
      </c>
      <c r="CJ22" s="711">
        <v>0</v>
      </c>
      <c r="CK22" s="711">
        <v>1</v>
      </c>
      <c r="CL22" s="711"/>
      <c r="CM22" s="711"/>
      <c r="CN22"/>
      <c r="CO22"/>
      <c r="CP22" s="716" t="s">
        <v>88</v>
      </c>
      <c r="CQ22" s="716"/>
      <c r="CR22" s="715">
        <v>10</v>
      </c>
      <c r="CS22" s="715">
        <v>15</v>
      </c>
      <c r="CT22" s="715">
        <v>5</v>
      </c>
      <c r="CU22" s="715">
        <v>5</v>
      </c>
      <c r="CV22" s="715">
        <v>5</v>
      </c>
      <c r="CW22" s="715">
        <v>1</v>
      </c>
      <c r="CX22" s="715">
        <v>0.8</v>
      </c>
      <c r="CY22" s="715">
        <v>1</v>
      </c>
      <c r="CZ22" s="715">
        <v>1</v>
      </c>
      <c r="DA22" s="715">
        <v>2</v>
      </c>
      <c r="DD22" s="709" t="s">
        <v>48</v>
      </c>
      <c r="DE22" s="709" t="s">
        <v>16</v>
      </c>
      <c r="DF22" s="718" t="s">
        <v>91</v>
      </c>
      <c r="DG22" s="711">
        <v>2</v>
      </c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</row>
    <row r="23" spans="1:139" s="700" customFormat="1">
      <c r="A23" s="716"/>
      <c r="B23" s="716"/>
      <c r="C23" s="716"/>
      <c r="D23" s="717" t="s">
        <v>92</v>
      </c>
      <c r="E23" s="711"/>
      <c r="F23" s="711"/>
      <c r="G23" s="711"/>
      <c r="H23" s="711"/>
      <c r="I23" s="711"/>
      <c r="J23" s="711"/>
      <c r="K23" s="711"/>
      <c r="L23" s="711"/>
      <c r="M23" s="711"/>
      <c r="N23" s="711"/>
      <c r="O23" s="711"/>
      <c r="P23" s="711">
        <v>1</v>
      </c>
      <c r="Q23" s="711"/>
      <c r="R23" s="699"/>
      <c r="T23" s="716"/>
      <c r="U23" s="716" t="s">
        <v>28</v>
      </c>
      <c r="V23" s="717" t="s">
        <v>91</v>
      </c>
      <c r="W23" s="711"/>
      <c r="X23" s="711"/>
      <c r="Y23" s="711"/>
      <c r="Z23" s="711"/>
      <c r="AA23" s="711"/>
      <c r="AB23" s="711"/>
      <c r="AC23" s="711"/>
      <c r="AD23" s="711"/>
      <c r="AE23" s="711"/>
      <c r="AF23" s="711"/>
      <c r="AG23" s="711"/>
      <c r="AH23" s="711"/>
      <c r="AI23" s="711">
        <v>3</v>
      </c>
      <c r="AJ23" s="711">
        <v>2</v>
      </c>
      <c r="AK23" s="711"/>
      <c r="AL23" s="27"/>
      <c r="AO23" s="716" t="s">
        <v>220</v>
      </c>
      <c r="AP23" s="716"/>
      <c r="AQ23" s="715">
        <v>0</v>
      </c>
      <c r="AR23" s="715">
        <v>1</v>
      </c>
      <c r="AS23" s="715">
        <v>0</v>
      </c>
      <c r="AT23" s="715">
        <v>1</v>
      </c>
      <c r="AU23" s="715">
        <v>0</v>
      </c>
      <c r="AV23" s="715">
        <v>1</v>
      </c>
      <c r="AW23" s="715">
        <v>0</v>
      </c>
      <c r="AX23" s="715">
        <v>1</v>
      </c>
      <c r="AY23" s="715"/>
      <c r="AZ23" s="715"/>
      <c r="BA23" s="715">
        <v>1</v>
      </c>
      <c r="BB23" s="715">
        <v>0</v>
      </c>
      <c r="BC23" s="715">
        <v>10</v>
      </c>
      <c r="BD23" s="715">
        <v>9</v>
      </c>
      <c r="BE23" s="715">
        <v>9</v>
      </c>
      <c r="BF23" s="699"/>
      <c r="BI23" s="709" t="s">
        <v>110</v>
      </c>
      <c r="BJ23" s="709"/>
      <c r="BK23" s="709"/>
      <c r="BL23" s="711">
        <v>0</v>
      </c>
      <c r="BM23" s="711">
        <v>1</v>
      </c>
      <c r="BN23" s="711">
        <v>0</v>
      </c>
      <c r="BO23" s="711">
        <v>1</v>
      </c>
      <c r="BP23" s="711">
        <v>0</v>
      </c>
      <c r="BQ23" s="711">
        <v>1</v>
      </c>
      <c r="BR23" s="711">
        <v>0</v>
      </c>
      <c r="BS23" s="711">
        <v>1</v>
      </c>
      <c r="BT23" s="711">
        <v>0</v>
      </c>
      <c r="BU23" s="711">
        <v>1</v>
      </c>
      <c r="BV23" s="711">
        <v>3</v>
      </c>
      <c r="BW23" s="711">
        <v>0</v>
      </c>
      <c r="BX23" s="711">
        <v>17</v>
      </c>
      <c r="BY23" s="711">
        <v>20</v>
      </c>
      <c r="BZ23" s="711">
        <v>13</v>
      </c>
      <c r="CC23" s="709">
        <v>7</v>
      </c>
      <c r="CD23" s="709" t="s">
        <v>40</v>
      </c>
      <c r="CE23" s="718" t="s">
        <v>91</v>
      </c>
      <c r="CF23" s="711">
        <v>1</v>
      </c>
      <c r="CG23" s="711"/>
      <c r="CH23" s="711"/>
      <c r="CI23" s="711"/>
      <c r="CJ23" s="711"/>
      <c r="CK23" s="711"/>
      <c r="CL23" s="711"/>
      <c r="CM23" s="711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D23"/>
      <c r="DE23"/>
      <c r="DF23" s="718" t="s">
        <v>92</v>
      </c>
      <c r="DG23" s="711">
        <v>1</v>
      </c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</row>
    <row r="24" spans="1:139" s="700" customFormat="1">
      <c r="A24" s="716"/>
      <c r="B24" s="716"/>
      <c r="C24" s="716" t="s">
        <v>129</v>
      </c>
      <c r="D24" s="716"/>
      <c r="E24" s="715"/>
      <c r="F24" s="715"/>
      <c r="G24" s="715"/>
      <c r="H24" s="715"/>
      <c r="I24" s="715"/>
      <c r="J24" s="715"/>
      <c r="K24" s="715"/>
      <c r="L24" s="715"/>
      <c r="M24" s="715"/>
      <c r="N24" s="715"/>
      <c r="O24" s="715">
        <v>3</v>
      </c>
      <c r="P24" s="715">
        <v>3</v>
      </c>
      <c r="Q24" s="715"/>
      <c r="R24" s="699"/>
      <c r="T24" s="716"/>
      <c r="U24" s="716"/>
      <c r="V24" s="717" t="s">
        <v>92</v>
      </c>
      <c r="W24" s="711"/>
      <c r="X24" s="711"/>
      <c r="Y24" s="711"/>
      <c r="Z24" s="711"/>
      <c r="AA24" s="711"/>
      <c r="AB24" s="711"/>
      <c r="AC24" s="711"/>
      <c r="AD24" s="711"/>
      <c r="AE24" s="711"/>
      <c r="AF24" s="711"/>
      <c r="AG24" s="711"/>
      <c r="AH24" s="711"/>
      <c r="AI24" s="711"/>
      <c r="AJ24" s="711">
        <v>1</v>
      </c>
      <c r="AK24" s="711"/>
      <c r="AL24" s="27"/>
      <c r="AO24" s="716" t="s">
        <v>88</v>
      </c>
      <c r="AP24" s="716"/>
      <c r="AQ24" s="715">
        <v>1</v>
      </c>
      <c r="AR24" s="715">
        <v>0.9375</v>
      </c>
      <c r="AS24" s="715">
        <v>1</v>
      </c>
      <c r="AT24" s="715">
        <v>0.9375</v>
      </c>
      <c r="AU24" s="715">
        <v>0</v>
      </c>
      <c r="AV24" s="715">
        <v>1</v>
      </c>
      <c r="AW24" s="715">
        <v>0</v>
      </c>
      <c r="AX24" s="715">
        <v>1</v>
      </c>
      <c r="AY24" s="715">
        <v>0</v>
      </c>
      <c r="AZ24" s="715">
        <v>1</v>
      </c>
      <c r="BA24" s="715">
        <v>4</v>
      </c>
      <c r="BB24" s="715">
        <v>3</v>
      </c>
      <c r="BC24" s="715">
        <v>18</v>
      </c>
      <c r="BD24" s="715">
        <v>24</v>
      </c>
      <c r="BE24" s="715">
        <v>16</v>
      </c>
      <c r="BF24" s="699"/>
      <c r="BI24" s="709" t="s">
        <v>19</v>
      </c>
      <c r="BJ24" s="709" t="s">
        <v>13</v>
      </c>
      <c r="BK24" s="718" t="s">
        <v>91</v>
      </c>
      <c r="BL24" s="711">
        <v>1</v>
      </c>
      <c r="BM24" s="711">
        <v>0.5</v>
      </c>
      <c r="BN24" s="711">
        <v>0</v>
      </c>
      <c r="BO24" s="711">
        <v>1</v>
      </c>
      <c r="BP24" s="711"/>
      <c r="BQ24" s="711"/>
      <c r="BR24" s="711">
        <v>0</v>
      </c>
      <c r="BS24" s="711">
        <v>1</v>
      </c>
      <c r="BT24" s="711"/>
      <c r="BU24" s="711"/>
      <c r="BV24" s="711"/>
      <c r="BW24" s="711"/>
      <c r="BX24" s="711"/>
      <c r="BY24" s="711"/>
      <c r="BZ24" s="711">
        <v>1</v>
      </c>
      <c r="CC24"/>
      <c r="CD24"/>
      <c r="CE24" s="718" t="s">
        <v>92</v>
      </c>
      <c r="CF24" s="711"/>
      <c r="CG24" s="711">
        <v>1</v>
      </c>
      <c r="CH24" s="711">
        <v>1</v>
      </c>
      <c r="CI24" s="711">
        <v>1</v>
      </c>
      <c r="CJ24" s="711">
        <v>0</v>
      </c>
      <c r="CK24" s="711">
        <v>1</v>
      </c>
      <c r="CL24" s="711"/>
      <c r="CM24" s="711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D24"/>
      <c r="DE24" s="709" t="s">
        <v>110</v>
      </c>
      <c r="DF24" s="709"/>
      <c r="DG24" s="711">
        <v>3</v>
      </c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</row>
    <row r="25" spans="1:139" s="700" customFormat="1">
      <c r="A25" s="716"/>
      <c r="B25" s="716"/>
      <c r="C25" s="716" t="s">
        <v>14</v>
      </c>
      <c r="D25" s="717" t="s">
        <v>91</v>
      </c>
      <c r="E25" s="711">
        <v>0</v>
      </c>
      <c r="F25" s="711">
        <v>1</v>
      </c>
      <c r="G25" s="711"/>
      <c r="H25" s="711"/>
      <c r="I25" s="711">
        <v>0</v>
      </c>
      <c r="J25" s="711">
        <v>1</v>
      </c>
      <c r="K25" s="711"/>
      <c r="L25" s="711"/>
      <c r="M25" s="711"/>
      <c r="N25" s="711"/>
      <c r="O25" s="711">
        <v>1</v>
      </c>
      <c r="P25" s="711">
        <v>4</v>
      </c>
      <c r="Q25" s="711"/>
      <c r="R25" s="699"/>
      <c r="T25" s="716"/>
      <c r="U25" s="716" t="s">
        <v>129</v>
      </c>
      <c r="V25" s="716"/>
      <c r="W25" s="715"/>
      <c r="X25" s="715"/>
      <c r="Y25" s="715"/>
      <c r="Z25" s="715"/>
      <c r="AA25" s="715"/>
      <c r="AB25" s="715"/>
      <c r="AC25" s="715"/>
      <c r="AD25" s="715"/>
      <c r="AE25" s="715"/>
      <c r="AF25" s="715"/>
      <c r="AG25" s="715"/>
      <c r="AH25" s="715"/>
      <c r="AI25" s="715">
        <v>3</v>
      </c>
      <c r="AJ25" s="715">
        <v>3</v>
      </c>
      <c r="AK25" s="715"/>
      <c r="AL25" s="699"/>
      <c r="BI25"/>
      <c r="BJ25"/>
      <c r="BK25" s="718" t="s">
        <v>92</v>
      </c>
      <c r="BL25" s="711"/>
      <c r="BM25" s="711"/>
      <c r="BN25" s="711"/>
      <c r="BO25" s="711"/>
      <c r="BP25" s="711">
        <v>0</v>
      </c>
      <c r="BQ25" s="711">
        <v>1</v>
      </c>
      <c r="BR25" s="711"/>
      <c r="BS25" s="711"/>
      <c r="BT25" s="711"/>
      <c r="BU25" s="711"/>
      <c r="BV25" s="711"/>
      <c r="BW25" s="711"/>
      <c r="BX25" s="711"/>
      <c r="BY25" s="711"/>
      <c r="BZ25" s="711"/>
      <c r="CC25"/>
      <c r="CD25" s="709" t="s">
        <v>228</v>
      </c>
      <c r="CE25" s="709"/>
      <c r="CF25" s="711">
        <v>1</v>
      </c>
      <c r="CG25" s="711">
        <v>1</v>
      </c>
      <c r="CH25" s="711">
        <v>1</v>
      </c>
      <c r="CI25" s="711">
        <v>1</v>
      </c>
      <c r="CJ25" s="711">
        <v>0</v>
      </c>
      <c r="CK25" s="711">
        <v>1</v>
      </c>
      <c r="CL25" s="711"/>
      <c r="CM25" s="711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D25"/>
      <c r="DE25" s="709" t="s">
        <v>19</v>
      </c>
      <c r="DF25" s="718" t="s">
        <v>91</v>
      </c>
      <c r="DG25" s="711">
        <v>1</v>
      </c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</row>
    <row r="26" spans="1:139" s="700" customFormat="1">
      <c r="A26" s="716"/>
      <c r="B26" s="716"/>
      <c r="C26" s="716"/>
      <c r="D26" s="717" t="s">
        <v>92</v>
      </c>
      <c r="E26" s="711"/>
      <c r="F26" s="711"/>
      <c r="G26" s="711">
        <v>0</v>
      </c>
      <c r="H26" s="711">
        <v>1</v>
      </c>
      <c r="I26" s="711"/>
      <c r="J26" s="711"/>
      <c r="K26" s="711">
        <v>0</v>
      </c>
      <c r="L26" s="711">
        <v>1</v>
      </c>
      <c r="M26" s="711"/>
      <c r="N26" s="711"/>
      <c r="O26" s="711"/>
      <c r="P26" s="711"/>
      <c r="Q26" s="711">
        <v>2</v>
      </c>
      <c r="R26" s="699"/>
      <c r="T26" s="716"/>
      <c r="U26" s="716" t="s">
        <v>29</v>
      </c>
      <c r="V26" s="717" t="s">
        <v>91</v>
      </c>
      <c r="W26" s="711"/>
      <c r="X26" s="711"/>
      <c r="Y26" s="711"/>
      <c r="Z26" s="711"/>
      <c r="AA26" s="711"/>
      <c r="AB26" s="711"/>
      <c r="AC26" s="711"/>
      <c r="AD26" s="711"/>
      <c r="AE26" s="711"/>
      <c r="AF26" s="711"/>
      <c r="AG26" s="711"/>
      <c r="AH26" s="711"/>
      <c r="AI26" s="711"/>
      <c r="AJ26" s="711">
        <v>1</v>
      </c>
      <c r="AK26" s="711"/>
      <c r="AL26" s="27"/>
      <c r="BI26"/>
      <c r="BJ26" s="716" t="s">
        <v>216</v>
      </c>
      <c r="BK26" s="716"/>
      <c r="BL26" s="715">
        <v>1</v>
      </c>
      <c r="BM26" s="715">
        <v>0.5</v>
      </c>
      <c r="BN26" s="715">
        <v>0</v>
      </c>
      <c r="BO26" s="715">
        <v>1</v>
      </c>
      <c r="BP26" s="715">
        <v>0</v>
      </c>
      <c r="BQ26" s="715">
        <v>1</v>
      </c>
      <c r="BR26" s="715">
        <v>0</v>
      </c>
      <c r="BS26" s="715">
        <v>1</v>
      </c>
      <c r="BT26" s="715"/>
      <c r="BU26" s="715"/>
      <c r="BV26" s="715"/>
      <c r="BW26" s="715"/>
      <c r="BX26" s="715"/>
      <c r="BY26" s="715"/>
      <c r="BZ26" s="715">
        <v>1</v>
      </c>
      <c r="CC26" s="709">
        <v>8</v>
      </c>
      <c r="CD26" s="709" t="s">
        <v>36</v>
      </c>
      <c r="CE26" s="718" t="s">
        <v>91</v>
      </c>
      <c r="CF26" s="711"/>
      <c r="CG26" s="711">
        <v>1</v>
      </c>
      <c r="CH26" s="711">
        <v>1</v>
      </c>
      <c r="CI26" s="711">
        <v>1</v>
      </c>
      <c r="CJ26" s="711">
        <v>0</v>
      </c>
      <c r="CK26" s="711">
        <v>1</v>
      </c>
      <c r="CL26" s="711"/>
      <c r="CM26" s="711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D26"/>
      <c r="DE26"/>
      <c r="DF26" s="718" t="s">
        <v>92</v>
      </c>
      <c r="DG26" s="711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</row>
    <row r="27" spans="1:139" s="700" customFormat="1">
      <c r="A27" s="716"/>
      <c r="B27" s="716"/>
      <c r="C27" s="716" t="s">
        <v>131</v>
      </c>
      <c r="D27" s="716"/>
      <c r="E27" s="715">
        <v>0</v>
      </c>
      <c r="F27" s="715">
        <v>1</v>
      </c>
      <c r="G27" s="715">
        <v>0</v>
      </c>
      <c r="H27" s="715">
        <v>1</v>
      </c>
      <c r="I27" s="715">
        <v>0</v>
      </c>
      <c r="J27" s="715">
        <v>1</v>
      </c>
      <c r="K27" s="715">
        <v>0</v>
      </c>
      <c r="L27" s="715">
        <v>1</v>
      </c>
      <c r="M27" s="715"/>
      <c r="N27" s="715"/>
      <c r="O27" s="715">
        <v>1</v>
      </c>
      <c r="P27" s="715">
        <v>4</v>
      </c>
      <c r="Q27" s="715">
        <v>2</v>
      </c>
      <c r="R27" s="699"/>
      <c r="T27" s="716"/>
      <c r="U27" s="716" t="s">
        <v>130</v>
      </c>
      <c r="V27" s="716"/>
      <c r="W27" s="715"/>
      <c r="X27" s="715"/>
      <c r="Y27" s="715"/>
      <c r="Z27" s="715"/>
      <c r="AA27" s="715"/>
      <c r="AB27" s="715"/>
      <c r="AC27" s="715"/>
      <c r="AD27" s="715"/>
      <c r="AE27" s="715"/>
      <c r="AF27" s="715"/>
      <c r="AG27" s="715"/>
      <c r="AH27" s="715"/>
      <c r="AI27" s="715"/>
      <c r="AJ27" s="715">
        <v>1</v>
      </c>
      <c r="AK27" s="715"/>
      <c r="AL27" s="699"/>
      <c r="BI27"/>
      <c r="BJ27" s="716" t="s">
        <v>26</v>
      </c>
      <c r="BK27" s="717" t="s">
        <v>91</v>
      </c>
      <c r="BL27" s="711"/>
      <c r="BM27" s="711"/>
      <c r="BN27" s="711"/>
      <c r="BO27" s="711"/>
      <c r="BP27" s="711"/>
      <c r="BQ27" s="711"/>
      <c r="BR27" s="711"/>
      <c r="BS27" s="711"/>
      <c r="BT27" s="711"/>
      <c r="BU27" s="711"/>
      <c r="BV27" s="711"/>
      <c r="BW27" s="711"/>
      <c r="BX27" s="711"/>
      <c r="BY27" s="711">
        <v>2</v>
      </c>
      <c r="BZ27" s="711"/>
      <c r="CC27"/>
      <c r="CD27" s="709" t="s">
        <v>231</v>
      </c>
      <c r="CE27" s="709"/>
      <c r="CF27" s="711"/>
      <c r="CG27" s="711">
        <v>1</v>
      </c>
      <c r="CH27" s="711">
        <v>1</v>
      </c>
      <c r="CI27" s="711">
        <v>1</v>
      </c>
      <c r="CJ27" s="711">
        <v>0</v>
      </c>
      <c r="CK27" s="711">
        <v>1</v>
      </c>
      <c r="CL27" s="711"/>
      <c r="CM27" s="711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D27"/>
      <c r="DE27" s="709" t="s">
        <v>111</v>
      </c>
      <c r="DF27" s="709"/>
      <c r="DG27" s="711">
        <v>1</v>
      </c>
      <c r="DH27"/>
      <c r="DI27"/>
      <c r="DJ27"/>
      <c r="DK27"/>
      <c r="DL27"/>
      <c r="DM27"/>
      <c r="DN27"/>
      <c r="DO27"/>
      <c r="DP27"/>
    </row>
    <row r="28" spans="1:139" s="700" customFormat="1">
      <c r="A28" s="716"/>
      <c r="B28" s="716"/>
      <c r="C28" s="716" t="s">
        <v>25</v>
      </c>
      <c r="D28" s="717" t="s">
        <v>91</v>
      </c>
      <c r="E28" s="711">
        <v>0</v>
      </c>
      <c r="F28" s="711">
        <v>1</v>
      </c>
      <c r="G28" s="711">
        <v>0</v>
      </c>
      <c r="H28" s="711">
        <v>1</v>
      </c>
      <c r="I28" s="711"/>
      <c r="J28" s="711"/>
      <c r="K28" s="711">
        <v>0</v>
      </c>
      <c r="L28" s="711">
        <v>1</v>
      </c>
      <c r="M28" s="711"/>
      <c r="N28" s="711"/>
      <c r="O28" s="711"/>
      <c r="P28" s="711">
        <v>1</v>
      </c>
      <c r="Q28" s="711">
        <v>5</v>
      </c>
      <c r="R28" s="699"/>
      <c r="T28" s="716"/>
      <c r="U28" s="716" t="s">
        <v>14</v>
      </c>
      <c r="V28" s="717" t="s">
        <v>91</v>
      </c>
      <c r="W28" s="711">
        <v>1</v>
      </c>
      <c r="X28" s="711">
        <v>0.8</v>
      </c>
      <c r="Y28" s="711">
        <v>0</v>
      </c>
      <c r="Z28" s="711">
        <v>1</v>
      </c>
      <c r="AA28" s="711">
        <v>0</v>
      </c>
      <c r="AB28" s="711">
        <v>1</v>
      </c>
      <c r="AC28" s="711">
        <v>0</v>
      </c>
      <c r="AD28" s="711">
        <v>1</v>
      </c>
      <c r="AE28" s="711"/>
      <c r="AF28" s="711"/>
      <c r="AG28" s="711">
        <v>1</v>
      </c>
      <c r="AH28" s="711">
        <v>0</v>
      </c>
      <c r="AI28" s="711">
        <v>1</v>
      </c>
      <c r="AJ28" s="711">
        <v>5</v>
      </c>
      <c r="AK28" s="711">
        <v>1</v>
      </c>
      <c r="AL28" s="27"/>
      <c r="BI28"/>
      <c r="BJ28" s="716" t="s">
        <v>217</v>
      </c>
      <c r="BK28" s="716"/>
      <c r="BL28" s="715"/>
      <c r="BM28" s="715"/>
      <c r="BN28" s="715"/>
      <c r="BO28" s="715"/>
      <c r="BP28" s="715"/>
      <c r="BQ28" s="715"/>
      <c r="BR28" s="715"/>
      <c r="BS28" s="715"/>
      <c r="BT28" s="715"/>
      <c r="BU28" s="715"/>
      <c r="BV28" s="715"/>
      <c r="BW28" s="715"/>
      <c r="BX28" s="715"/>
      <c r="BY28" s="715">
        <v>2</v>
      </c>
      <c r="BZ28" s="715"/>
      <c r="CC28" s="709">
        <v>9</v>
      </c>
      <c r="CD28" s="709" t="s">
        <v>37</v>
      </c>
      <c r="CE28" s="718" t="s">
        <v>91</v>
      </c>
      <c r="CF28" s="711">
        <v>1</v>
      </c>
      <c r="CG28" s="711"/>
      <c r="CH28" s="711"/>
      <c r="CI28" s="711"/>
      <c r="CJ28" s="711"/>
      <c r="CK28" s="711"/>
      <c r="CL28" s="711"/>
      <c r="CM28" s="711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D28" s="709" t="s">
        <v>135</v>
      </c>
      <c r="DE28" s="709"/>
      <c r="DF28" s="709"/>
      <c r="DG28" s="711">
        <v>4</v>
      </c>
      <c r="DH28"/>
      <c r="DI28"/>
      <c r="DJ28"/>
      <c r="DK28"/>
      <c r="DL28"/>
      <c r="DM28"/>
      <c r="DN28"/>
      <c r="DO28"/>
      <c r="DP28"/>
    </row>
    <row r="29" spans="1:139" s="700" customFormat="1">
      <c r="A29" s="716"/>
      <c r="B29" s="716"/>
      <c r="C29" s="716"/>
      <c r="D29" s="717" t="s">
        <v>92</v>
      </c>
      <c r="E29" s="711">
        <v>0</v>
      </c>
      <c r="F29" s="711">
        <v>1</v>
      </c>
      <c r="G29" s="711">
        <v>0</v>
      </c>
      <c r="H29" s="711">
        <v>1</v>
      </c>
      <c r="I29" s="711"/>
      <c r="J29" s="711"/>
      <c r="K29" s="711">
        <v>0</v>
      </c>
      <c r="L29" s="711">
        <v>1</v>
      </c>
      <c r="M29" s="711"/>
      <c r="N29" s="711"/>
      <c r="O29" s="711"/>
      <c r="P29" s="711">
        <v>3</v>
      </c>
      <c r="Q29" s="711">
        <v>3</v>
      </c>
      <c r="R29" s="699"/>
      <c r="T29" s="716"/>
      <c r="U29" s="716"/>
      <c r="V29" s="717" t="s">
        <v>92</v>
      </c>
      <c r="W29" s="711"/>
      <c r="X29" s="711"/>
      <c r="Y29" s="711">
        <v>0</v>
      </c>
      <c r="Z29" s="711">
        <v>1</v>
      </c>
      <c r="AA29" s="711">
        <v>0</v>
      </c>
      <c r="AB29" s="711">
        <v>1</v>
      </c>
      <c r="AC29" s="711">
        <v>0</v>
      </c>
      <c r="AD29" s="711">
        <v>1</v>
      </c>
      <c r="AE29" s="711"/>
      <c r="AF29" s="711"/>
      <c r="AG29" s="711"/>
      <c r="AH29" s="711"/>
      <c r="AI29" s="711"/>
      <c r="AJ29" s="711"/>
      <c r="AK29" s="711">
        <v>2</v>
      </c>
      <c r="AL29" s="27"/>
      <c r="BI29"/>
      <c r="BJ29" s="716" t="s">
        <v>33</v>
      </c>
      <c r="BK29" s="717" t="s">
        <v>91</v>
      </c>
      <c r="BL29" s="711"/>
      <c r="BM29" s="711"/>
      <c r="BN29" s="711"/>
      <c r="BO29" s="711"/>
      <c r="BP29" s="711">
        <v>0</v>
      </c>
      <c r="BQ29" s="711">
        <v>1</v>
      </c>
      <c r="BR29" s="711"/>
      <c r="BS29" s="711"/>
      <c r="BT29" s="711"/>
      <c r="BU29" s="711"/>
      <c r="BV29" s="711">
        <v>1</v>
      </c>
      <c r="BW29" s="711">
        <v>0</v>
      </c>
      <c r="BX29" s="711">
        <v>1</v>
      </c>
      <c r="BY29" s="711">
        <v>1</v>
      </c>
      <c r="BZ29" s="711"/>
      <c r="CC29"/>
      <c r="CD29"/>
      <c r="CE29" s="718" t="s">
        <v>92</v>
      </c>
      <c r="CF29" s="711"/>
      <c r="CG29" s="711">
        <v>1</v>
      </c>
      <c r="CH29" s="711"/>
      <c r="CI29" s="711"/>
      <c r="CJ29" s="711"/>
      <c r="CK29" s="711"/>
      <c r="CL29" s="711"/>
      <c r="CM29" s="711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D29" s="709" t="s">
        <v>103</v>
      </c>
      <c r="DE29" s="709" t="s">
        <v>16</v>
      </c>
      <c r="DF29" s="718" t="s">
        <v>91</v>
      </c>
      <c r="DG29" s="711">
        <v>7</v>
      </c>
      <c r="DH29"/>
      <c r="DI29"/>
      <c r="DJ29"/>
      <c r="DK29"/>
      <c r="DL29"/>
      <c r="DM29"/>
      <c r="DN29"/>
      <c r="DO29"/>
      <c r="DP29"/>
    </row>
    <row r="30" spans="1:139" s="700" customFormat="1">
      <c r="A30" s="716"/>
      <c r="B30" s="716"/>
      <c r="C30" s="716" t="s">
        <v>132</v>
      </c>
      <c r="D30" s="716"/>
      <c r="E30" s="715">
        <v>0</v>
      </c>
      <c r="F30" s="715">
        <v>1</v>
      </c>
      <c r="G30" s="715">
        <v>0</v>
      </c>
      <c r="H30" s="715">
        <v>1</v>
      </c>
      <c r="I30" s="715"/>
      <c r="J30" s="715"/>
      <c r="K30" s="715">
        <v>0</v>
      </c>
      <c r="L30" s="715">
        <v>1</v>
      </c>
      <c r="M30" s="715"/>
      <c r="N30" s="715"/>
      <c r="O30" s="715"/>
      <c r="P30" s="715">
        <v>4</v>
      </c>
      <c r="Q30" s="715">
        <v>8</v>
      </c>
      <c r="R30" s="699"/>
      <c r="T30" s="716"/>
      <c r="U30" s="716" t="s">
        <v>131</v>
      </c>
      <c r="V30" s="716"/>
      <c r="W30" s="715">
        <v>1</v>
      </c>
      <c r="X30" s="715">
        <v>0.8</v>
      </c>
      <c r="Y30" s="715">
        <v>0</v>
      </c>
      <c r="Z30" s="715">
        <v>1</v>
      </c>
      <c r="AA30" s="715">
        <v>0</v>
      </c>
      <c r="AB30" s="715">
        <v>1</v>
      </c>
      <c r="AC30" s="715">
        <v>0</v>
      </c>
      <c r="AD30" s="715">
        <v>1</v>
      </c>
      <c r="AE30" s="715"/>
      <c r="AF30" s="715"/>
      <c r="AG30" s="715">
        <v>1</v>
      </c>
      <c r="AH30" s="715">
        <v>0</v>
      </c>
      <c r="AI30" s="715">
        <v>1</v>
      </c>
      <c r="AJ30" s="715">
        <v>5</v>
      </c>
      <c r="AK30" s="715">
        <v>3</v>
      </c>
      <c r="AL30" s="699"/>
      <c r="BI30"/>
      <c r="BJ30" s="716"/>
      <c r="BK30" s="717" t="s">
        <v>92</v>
      </c>
      <c r="BL30" s="711"/>
      <c r="BM30" s="711"/>
      <c r="BN30" s="711"/>
      <c r="BO30" s="711"/>
      <c r="BP30" s="711"/>
      <c r="BQ30" s="711"/>
      <c r="BR30" s="711"/>
      <c r="BS30" s="711"/>
      <c r="BT30" s="711"/>
      <c r="BU30" s="711"/>
      <c r="BV30" s="711"/>
      <c r="BW30" s="711"/>
      <c r="BX30" s="711"/>
      <c r="BY30" s="711">
        <v>1</v>
      </c>
      <c r="BZ30" s="711"/>
      <c r="CC30"/>
      <c r="CD30" s="709" t="s">
        <v>232</v>
      </c>
      <c r="CE30" s="709"/>
      <c r="CF30" s="711">
        <v>1</v>
      </c>
      <c r="CG30" s="711">
        <v>1</v>
      </c>
      <c r="CH30" s="711"/>
      <c r="CI30" s="711"/>
      <c r="CJ30" s="711"/>
      <c r="CK30" s="711"/>
      <c r="CL30" s="711"/>
      <c r="CM30" s="711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D30"/>
      <c r="DE30"/>
      <c r="DF30" s="718" t="s">
        <v>92</v>
      </c>
      <c r="DG30" s="711">
        <v>3</v>
      </c>
      <c r="DH30"/>
      <c r="DI30"/>
      <c r="DJ30"/>
      <c r="DK30"/>
      <c r="DL30"/>
      <c r="DM30"/>
      <c r="DN30"/>
      <c r="DO30"/>
      <c r="DP30"/>
    </row>
    <row r="31" spans="1:139">
      <c r="B31" s="709" t="s">
        <v>110</v>
      </c>
      <c r="C31" s="709"/>
      <c r="D31" s="709"/>
      <c r="E31" s="711">
        <v>0</v>
      </c>
      <c r="F31" s="711">
        <v>1</v>
      </c>
      <c r="G31" s="711">
        <v>0</v>
      </c>
      <c r="H31" s="711">
        <v>1</v>
      </c>
      <c r="I31" s="711">
        <v>0</v>
      </c>
      <c r="J31" s="711">
        <v>1</v>
      </c>
      <c r="K31" s="711">
        <v>0</v>
      </c>
      <c r="L31" s="711">
        <v>1</v>
      </c>
      <c r="M31" s="711">
        <v>0</v>
      </c>
      <c r="N31" s="711">
        <v>1</v>
      </c>
      <c r="O31" s="711">
        <v>17</v>
      </c>
      <c r="P31" s="711">
        <v>20</v>
      </c>
      <c r="Q31" s="711">
        <v>13</v>
      </c>
      <c r="R31" s="27"/>
      <c r="S31" s="1"/>
      <c r="U31" s="709" t="s">
        <v>25</v>
      </c>
      <c r="V31" s="718" t="s">
        <v>91</v>
      </c>
      <c r="W31" s="711">
        <v>0</v>
      </c>
      <c r="X31" s="711">
        <v>1</v>
      </c>
      <c r="Y31" s="711">
        <v>0</v>
      </c>
      <c r="Z31" s="711">
        <v>1</v>
      </c>
      <c r="AA31" s="711"/>
      <c r="AB31" s="711"/>
      <c r="AC31" s="711">
        <v>0</v>
      </c>
      <c r="AD31" s="711">
        <v>1</v>
      </c>
      <c r="AE31" s="711"/>
      <c r="AF31" s="711"/>
      <c r="AG31" s="711"/>
      <c r="AH31" s="711"/>
      <c r="AI31" s="711"/>
      <c r="AJ31" s="711">
        <v>1</v>
      </c>
      <c r="AK31" s="711">
        <v>5</v>
      </c>
      <c r="AL31" s="27"/>
      <c r="AN31" s="1"/>
      <c r="BJ31" s="716" t="s">
        <v>218</v>
      </c>
      <c r="BK31" s="716"/>
      <c r="BL31" s="715"/>
      <c r="BM31" s="715"/>
      <c r="BN31" s="715"/>
      <c r="BO31" s="715"/>
      <c r="BP31" s="715">
        <v>0</v>
      </c>
      <c r="BQ31" s="715">
        <v>1</v>
      </c>
      <c r="BR31" s="715"/>
      <c r="BS31" s="715"/>
      <c r="BT31" s="715"/>
      <c r="BU31" s="715"/>
      <c r="BV31" s="715">
        <v>1</v>
      </c>
      <c r="BW31" s="715">
        <v>0</v>
      </c>
      <c r="BX31" s="715">
        <v>1</v>
      </c>
      <c r="BY31" s="715">
        <v>2</v>
      </c>
      <c r="BZ31" s="715"/>
      <c r="CC31" s="709">
        <v>10</v>
      </c>
      <c r="CD31" s="709" t="s">
        <v>30</v>
      </c>
      <c r="CE31" s="718" t="s">
        <v>91</v>
      </c>
      <c r="CF31" s="711">
        <v>1</v>
      </c>
      <c r="CG31" s="711">
        <v>1</v>
      </c>
      <c r="CH31" s="711"/>
      <c r="CI31" s="711"/>
      <c r="CJ31" s="711"/>
      <c r="CK31" s="711"/>
      <c r="CL31" s="711"/>
      <c r="CM31" s="711"/>
      <c r="DE31" s="709" t="s">
        <v>110</v>
      </c>
      <c r="DF31" s="709"/>
      <c r="DG31" s="711">
        <v>10</v>
      </c>
    </row>
    <row r="32" spans="1:139">
      <c r="B32" s="709" t="s">
        <v>19</v>
      </c>
      <c r="C32" s="709" t="s">
        <v>39</v>
      </c>
      <c r="D32" s="718" t="s">
        <v>91</v>
      </c>
      <c r="E32" s="711"/>
      <c r="F32" s="711"/>
      <c r="G32" s="711">
        <v>1</v>
      </c>
      <c r="H32" s="711">
        <v>0</v>
      </c>
      <c r="I32" s="711">
        <v>0</v>
      </c>
      <c r="J32" s="711">
        <v>1</v>
      </c>
      <c r="K32" s="711">
        <v>0</v>
      </c>
      <c r="L32" s="711">
        <v>1</v>
      </c>
      <c r="M32" s="711"/>
      <c r="N32" s="711"/>
      <c r="O32" s="711"/>
      <c r="P32" s="711"/>
      <c r="Q32" s="711">
        <v>1</v>
      </c>
      <c r="R32" s="27"/>
      <c r="S32" s="1"/>
      <c r="V32" s="718" t="s">
        <v>92</v>
      </c>
      <c r="W32" s="711">
        <v>0</v>
      </c>
      <c r="X32" s="711">
        <v>1</v>
      </c>
      <c r="Y32" s="711">
        <v>0</v>
      </c>
      <c r="Z32" s="711">
        <v>1</v>
      </c>
      <c r="AA32" s="711"/>
      <c r="AB32" s="711"/>
      <c r="AC32" s="711">
        <v>0</v>
      </c>
      <c r="AD32" s="711">
        <v>1</v>
      </c>
      <c r="AE32" s="711"/>
      <c r="AF32" s="711"/>
      <c r="AG32" s="711"/>
      <c r="AH32" s="711"/>
      <c r="AI32" s="711"/>
      <c r="AJ32" s="711">
        <v>3</v>
      </c>
      <c r="AK32" s="711">
        <v>3</v>
      </c>
      <c r="AL32" s="27"/>
      <c r="AN32" s="1"/>
      <c r="BJ32" s="716" t="s">
        <v>38</v>
      </c>
      <c r="BK32" s="717" t="s">
        <v>91</v>
      </c>
      <c r="BL32" s="711"/>
      <c r="BM32" s="711"/>
      <c r="BN32" s="711">
        <v>1</v>
      </c>
      <c r="BO32" s="711">
        <v>0</v>
      </c>
      <c r="BP32" s="711">
        <v>0</v>
      </c>
      <c r="BQ32" s="711">
        <v>1</v>
      </c>
      <c r="BR32" s="711">
        <v>0</v>
      </c>
      <c r="BS32" s="711">
        <v>1</v>
      </c>
      <c r="BT32" s="711"/>
      <c r="BU32" s="711"/>
      <c r="BV32" s="711">
        <v>0</v>
      </c>
      <c r="BW32" s="711">
        <v>2</v>
      </c>
      <c r="BX32" s="711"/>
      <c r="BY32" s="711"/>
      <c r="BZ32" s="711">
        <v>1</v>
      </c>
      <c r="CD32" s="709" t="s">
        <v>233</v>
      </c>
      <c r="CE32" s="709"/>
      <c r="CF32" s="711">
        <v>1</v>
      </c>
      <c r="CG32" s="711">
        <v>1</v>
      </c>
      <c r="CH32" s="711"/>
      <c r="CI32" s="711"/>
      <c r="CJ32" s="711"/>
      <c r="CK32" s="711"/>
      <c r="CL32" s="711"/>
      <c r="CM32" s="711"/>
      <c r="DE32" s="709" t="s">
        <v>19</v>
      </c>
      <c r="DF32" s="718" t="s">
        <v>91</v>
      </c>
      <c r="DG32" s="711">
        <v>2</v>
      </c>
    </row>
    <row r="33" spans="1:111">
      <c r="D33" s="718" t="s">
        <v>92</v>
      </c>
      <c r="E33" s="711">
        <v>0</v>
      </c>
      <c r="F33" s="711">
        <v>1</v>
      </c>
      <c r="G33" s="711">
        <v>0</v>
      </c>
      <c r="H33" s="711">
        <v>1</v>
      </c>
      <c r="I33" s="711">
        <v>0</v>
      </c>
      <c r="J33" s="711">
        <v>1</v>
      </c>
      <c r="K33" s="711">
        <v>0</v>
      </c>
      <c r="L33" s="711">
        <v>1</v>
      </c>
      <c r="M33" s="711"/>
      <c r="N33" s="711"/>
      <c r="O33" s="711"/>
      <c r="P33" s="711"/>
      <c r="Q33" s="711">
        <v>1</v>
      </c>
      <c r="R33" s="27"/>
      <c r="S33" s="1"/>
      <c r="U33" s="709" t="s">
        <v>132</v>
      </c>
      <c r="V33" s="709"/>
      <c r="W33" s="711">
        <v>0</v>
      </c>
      <c r="X33" s="711">
        <v>1</v>
      </c>
      <c r="Y33" s="711">
        <v>0</v>
      </c>
      <c r="Z33" s="711">
        <v>1</v>
      </c>
      <c r="AA33" s="711"/>
      <c r="AB33" s="711"/>
      <c r="AC33" s="711">
        <v>0</v>
      </c>
      <c r="AD33" s="711">
        <v>1</v>
      </c>
      <c r="AE33" s="711"/>
      <c r="AF33" s="711"/>
      <c r="AG33" s="711"/>
      <c r="AH33" s="711"/>
      <c r="AI33" s="711"/>
      <c r="AJ33" s="711">
        <v>4</v>
      </c>
      <c r="AK33" s="711">
        <v>8</v>
      </c>
      <c r="AL33" s="27"/>
      <c r="AN33" s="1"/>
      <c r="BJ33" s="716"/>
      <c r="BK33" s="717" t="s">
        <v>92</v>
      </c>
      <c r="BL33" s="711">
        <v>0</v>
      </c>
      <c r="BM33" s="711">
        <v>1</v>
      </c>
      <c r="BN33" s="711">
        <v>0</v>
      </c>
      <c r="BO33" s="711">
        <v>1</v>
      </c>
      <c r="BP33" s="711">
        <v>0</v>
      </c>
      <c r="BQ33" s="711">
        <v>1</v>
      </c>
      <c r="BR33" s="711">
        <v>0</v>
      </c>
      <c r="BS33" s="711">
        <v>1</v>
      </c>
      <c r="BT33" s="711"/>
      <c r="BU33" s="711"/>
      <c r="BV33" s="711">
        <v>0</v>
      </c>
      <c r="BW33" s="711">
        <v>1</v>
      </c>
      <c r="BX33" s="711"/>
      <c r="BY33" s="711"/>
      <c r="BZ33" s="711">
        <v>1</v>
      </c>
      <c r="CC33" s="709">
        <v>11</v>
      </c>
      <c r="CD33" s="709" t="s">
        <v>32</v>
      </c>
      <c r="CE33" s="718" t="s">
        <v>91</v>
      </c>
      <c r="CF33" s="711"/>
      <c r="CG33" s="711">
        <v>1</v>
      </c>
      <c r="CH33" s="711"/>
      <c r="CI33" s="711"/>
      <c r="CJ33" s="711"/>
      <c r="CK33" s="711"/>
      <c r="CL33" s="711"/>
      <c r="CM33" s="711"/>
      <c r="DF33" s="718" t="s">
        <v>92</v>
      </c>
      <c r="DG33" s="711"/>
    </row>
    <row r="34" spans="1:111">
      <c r="C34" s="709" t="s">
        <v>124</v>
      </c>
      <c r="D34" s="709"/>
      <c r="E34" s="711">
        <v>0</v>
      </c>
      <c r="F34" s="711">
        <v>1</v>
      </c>
      <c r="G34" s="711">
        <v>1</v>
      </c>
      <c r="H34" s="711">
        <v>0.5</v>
      </c>
      <c r="I34" s="711">
        <v>0</v>
      </c>
      <c r="J34" s="711">
        <v>1</v>
      </c>
      <c r="K34" s="711">
        <v>0</v>
      </c>
      <c r="L34" s="711">
        <v>1</v>
      </c>
      <c r="M34" s="711"/>
      <c r="N34" s="711"/>
      <c r="O34" s="711"/>
      <c r="P34" s="711"/>
      <c r="Q34" s="711">
        <v>2</v>
      </c>
      <c r="R34" s="27"/>
      <c r="S34" s="1"/>
      <c r="T34" s="709" t="s">
        <v>93</v>
      </c>
      <c r="U34" s="709"/>
      <c r="V34" s="709"/>
      <c r="W34" s="711">
        <v>1</v>
      </c>
      <c r="X34" s="711">
        <v>0.9375</v>
      </c>
      <c r="Y34" s="711">
        <v>1</v>
      </c>
      <c r="Z34" s="711">
        <v>0.9375</v>
      </c>
      <c r="AA34" s="711">
        <v>0</v>
      </c>
      <c r="AB34" s="711">
        <v>1</v>
      </c>
      <c r="AC34" s="711">
        <v>0</v>
      </c>
      <c r="AD34" s="711">
        <v>1</v>
      </c>
      <c r="AE34" s="711">
        <v>0</v>
      </c>
      <c r="AF34" s="711">
        <v>1</v>
      </c>
      <c r="AG34" s="711">
        <v>4</v>
      </c>
      <c r="AH34" s="711">
        <v>3</v>
      </c>
      <c r="AI34" s="711">
        <v>18</v>
      </c>
      <c r="AJ34" s="711">
        <v>24</v>
      </c>
      <c r="AK34" s="711">
        <v>16</v>
      </c>
      <c r="AL34" s="27"/>
      <c r="AN34" s="1"/>
      <c r="BJ34" s="716" t="s">
        <v>219</v>
      </c>
      <c r="BK34" s="716"/>
      <c r="BL34" s="715">
        <v>0</v>
      </c>
      <c r="BM34" s="715">
        <v>1</v>
      </c>
      <c r="BN34" s="715">
        <v>1</v>
      </c>
      <c r="BO34" s="715">
        <v>0.5</v>
      </c>
      <c r="BP34" s="715">
        <v>0</v>
      </c>
      <c r="BQ34" s="715">
        <v>1</v>
      </c>
      <c r="BR34" s="715">
        <v>0</v>
      </c>
      <c r="BS34" s="715">
        <v>1</v>
      </c>
      <c r="BT34" s="715"/>
      <c r="BU34" s="715"/>
      <c r="BV34" s="715">
        <v>0</v>
      </c>
      <c r="BW34" s="715">
        <v>3</v>
      </c>
      <c r="BX34" s="715"/>
      <c r="BY34" s="715"/>
      <c r="BZ34" s="715">
        <v>2</v>
      </c>
      <c r="CD34" s="709" t="s">
        <v>229</v>
      </c>
      <c r="CE34" s="709"/>
      <c r="CF34" s="711"/>
      <c r="CG34" s="711">
        <v>1</v>
      </c>
      <c r="CH34" s="711"/>
      <c r="CI34" s="711"/>
      <c r="CJ34" s="711"/>
      <c r="CK34" s="711"/>
      <c r="CL34" s="711"/>
      <c r="CM34" s="711"/>
      <c r="DE34" s="709" t="s">
        <v>111</v>
      </c>
      <c r="DF34" s="709"/>
      <c r="DG34" s="711">
        <v>2</v>
      </c>
    </row>
    <row r="35" spans="1:111">
      <c r="C35" s="709" t="s">
        <v>35</v>
      </c>
      <c r="D35" s="718" t="s">
        <v>91</v>
      </c>
      <c r="E35" s="711"/>
      <c r="F35" s="711"/>
      <c r="G35" s="711"/>
      <c r="H35" s="711"/>
      <c r="I35" s="711"/>
      <c r="J35" s="711"/>
      <c r="K35" s="711"/>
      <c r="L35" s="711"/>
      <c r="M35" s="711"/>
      <c r="N35" s="711"/>
      <c r="O35" s="711"/>
      <c r="P35" s="711">
        <v>1</v>
      </c>
      <c r="Q35" s="711"/>
      <c r="R35" s="27"/>
      <c r="T35" s="709">
        <v>2</v>
      </c>
      <c r="U35" s="709" t="s">
        <v>45</v>
      </c>
      <c r="V35" s="718" t="s">
        <v>91</v>
      </c>
      <c r="W35" s="711">
        <v>1</v>
      </c>
      <c r="X35" s="711">
        <v>0.88888888888888884</v>
      </c>
      <c r="Y35" s="711">
        <v>1</v>
      </c>
      <c r="Z35" s="711">
        <v>0.8</v>
      </c>
      <c r="AA35" s="711">
        <v>0</v>
      </c>
      <c r="AB35" s="711">
        <v>1</v>
      </c>
      <c r="AC35" s="711">
        <v>0</v>
      </c>
      <c r="AD35" s="711">
        <v>1</v>
      </c>
      <c r="AE35" s="711">
        <v>0</v>
      </c>
      <c r="AF35" s="711">
        <v>1</v>
      </c>
      <c r="AG35" s="711">
        <v>4</v>
      </c>
      <c r="AH35" s="711">
        <v>2</v>
      </c>
      <c r="AI35" s="711">
        <v>9</v>
      </c>
      <c r="AJ35" s="711">
        <v>12</v>
      </c>
      <c r="AK35" s="711">
        <v>5</v>
      </c>
      <c r="AL35" s="27"/>
      <c r="BI35" s="709" t="s">
        <v>111</v>
      </c>
      <c r="BJ35" s="709"/>
      <c r="BK35" s="709"/>
      <c r="BL35" s="711">
        <v>1</v>
      </c>
      <c r="BM35" s="711">
        <v>0.66666666666666663</v>
      </c>
      <c r="BN35" s="711">
        <v>1</v>
      </c>
      <c r="BO35" s="711">
        <v>0.66666666666666663</v>
      </c>
      <c r="BP35" s="711">
        <v>0</v>
      </c>
      <c r="BQ35" s="711">
        <v>1</v>
      </c>
      <c r="BR35" s="711">
        <v>0</v>
      </c>
      <c r="BS35" s="711">
        <v>1</v>
      </c>
      <c r="BT35" s="711"/>
      <c r="BU35" s="711"/>
      <c r="BV35" s="711">
        <v>1</v>
      </c>
      <c r="BW35" s="711">
        <v>3</v>
      </c>
      <c r="BX35" s="711">
        <v>1</v>
      </c>
      <c r="BY35" s="711">
        <v>4</v>
      </c>
      <c r="BZ35" s="711">
        <v>3</v>
      </c>
      <c r="CC35" s="709">
        <v>14</v>
      </c>
      <c r="CD35" s="709" t="s">
        <v>205</v>
      </c>
      <c r="CE35" s="718" t="s">
        <v>91</v>
      </c>
      <c r="CF35" s="711">
        <v>3</v>
      </c>
      <c r="CG35" s="711">
        <v>2</v>
      </c>
      <c r="CH35" s="711"/>
      <c r="CI35" s="711"/>
      <c r="CJ35" s="711"/>
      <c r="CK35" s="711"/>
      <c r="CL35" s="711"/>
      <c r="CM35" s="711"/>
      <c r="DD35" s="709" t="s">
        <v>136</v>
      </c>
      <c r="DE35" s="709"/>
      <c r="DF35" s="709"/>
      <c r="DG35" s="711">
        <v>12</v>
      </c>
    </row>
    <row r="36" spans="1:111">
      <c r="C36" s="709" t="s">
        <v>126</v>
      </c>
      <c r="D36" s="709"/>
      <c r="E36" s="711"/>
      <c r="F36" s="711"/>
      <c r="G36" s="711"/>
      <c r="H36" s="711"/>
      <c r="I36" s="711"/>
      <c r="J36" s="711"/>
      <c r="K36" s="711"/>
      <c r="L36" s="711"/>
      <c r="M36" s="711"/>
      <c r="N36" s="711"/>
      <c r="O36" s="711"/>
      <c r="P36" s="711">
        <v>1</v>
      </c>
      <c r="Q36" s="711"/>
      <c r="R36" s="27"/>
      <c r="V36" s="718" t="s">
        <v>92</v>
      </c>
      <c r="W36" s="711">
        <v>0</v>
      </c>
      <c r="X36" s="711">
        <v>1</v>
      </c>
      <c r="Y36" s="711">
        <v>0</v>
      </c>
      <c r="Z36" s="711">
        <v>1</v>
      </c>
      <c r="AA36" s="711">
        <v>0</v>
      </c>
      <c r="AB36" s="711">
        <v>1</v>
      </c>
      <c r="AC36" s="711">
        <v>0</v>
      </c>
      <c r="AD36" s="711">
        <v>1</v>
      </c>
      <c r="AE36" s="711">
        <v>0</v>
      </c>
      <c r="AF36" s="711">
        <v>1</v>
      </c>
      <c r="AG36" s="711">
        <v>0</v>
      </c>
      <c r="AH36" s="711">
        <v>1</v>
      </c>
      <c r="AI36" s="711">
        <v>5</v>
      </c>
      <c r="AJ36" s="711">
        <v>8</v>
      </c>
      <c r="AK36" s="711">
        <v>3</v>
      </c>
      <c r="AL36" s="27"/>
      <c r="BI36" s="716" t="s">
        <v>88</v>
      </c>
      <c r="BJ36" s="716"/>
      <c r="BK36" s="716"/>
      <c r="BL36" s="715">
        <v>1</v>
      </c>
      <c r="BM36" s="715">
        <v>0.9375</v>
      </c>
      <c r="BN36" s="715">
        <v>1</v>
      </c>
      <c r="BO36" s="715">
        <v>0.9375</v>
      </c>
      <c r="BP36" s="715">
        <v>0</v>
      </c>
      <c r="BQ36" s="715">
        <v>1</v>
      </c>
      <c r="BR36" s="715">
        <v>0</v>
      </c>
      <c r="BS36" s="715">
        <v>1</v>
      </c>
      <c r="BT36" s="715">
        <v>0</v>
      </c>
      <c r="BU36" s="715">
        <v>1</v>
      </c>
      <c r="BV36" s="715">
        <v>4</v>
      </c>
      <c r="BW36" s="715">
        <v>3</v>
      </c>
      <c r="BX36" s="715">
        <v>18</v>
      </c>
      <c r="BY36" s="715">
        <v>24</v>
      </c>
      <c r="BZ36" s="715">
        <v>16</v>
      </c>
      <c r="CE36" s="718" t="s">
        <v>92</v>
      </c>
      <c r="CF36" s="711"/>
      <c r="CG36" s="711">
        <v>1</v>
      </c>
      <c r="CH36" s="711"/>
      <c r="CI36" s="711"/>
      <c r="CJ36" s="711"/>
      <c r="CK36" s="711"/>
      <c r="CL36" s="711"/>
      <c r="CM36" s="711"/>
      <c r="DD36" s="709" t="s">
        <v>47</v>
      </c>
      <c r="DE36" s="709" t="s">
        <v>16</v>
      </c>
      <c r="DF36" s="718" t="s">
        <v>91</v>
      </c>
      <c r="DG36" s="711">
        <v>1</v>
      </c>
    </row>
    <row r="37" spans="1:111">
      <c r="C37" s="709" t="s">
        <v>34</v>
      </c>
      <c r="D37" s="718" t="s">
        <v>91</v>
      </c>
      <c r="E37" s="711"/>
      <c r="F37" s="711"/>
      <c r="G37" s="711"/>
      <c r="H37" s="711"/>
      <c r="I37" s="711">
        <v>0</v>
      </c>
      <c r="J37" s="711">
        <v>1</v>
      </c>
      <c r="K37" s="711"/>
      <c r="L37" s="711"/>
      <c r="M37" s="711"/>
      <c r="N37" s="711"/>
      <c r="O37" s="711">
        <v>1</v>
      </c>
      <c r="P37" s="711"/>
      <c r="Q37" s="711"/>
      <c r="R37" s="27"/>
      <c r="U37" s="709" t="s">
        <v>133</v>
      </c>
      <c r="V37" s="709"/>
      <c r="W37" s="711">
        <v>1</v>
      </c>
      <c r="X37" s="711">
        <v>0.9</v>
      </c>
      <c r="Y37" s="711">
        <v>1</v>
      </c>
      <c r="Z37" s="711">
        <v>0.875</v>
      </c>
      <c r="AA37" s="711">
        <v>0</v>
      </c>
      <c r="AB37" s="711">
        <v>1</v>
      </c>
      <c r="AC37" s="711">
        <v>0</v>
      </c>
      <c r="AD37" s="711">
        <v>1</v>
      </c>
      <c r="AE37" s="711">
        <v>0</v>
      </c>
      <c r="AF37" s="711">
        <v>1</v>
      </c>
      <c r="AG37" s="711">
        <v>4</v>
      </c>
      <c r="AH37" s="711">
        <v>3</v>
      </c>
      <c r="AI37" s="711">
        <v>14</v>
      </c>
      <c r="AJ37" s="711">
        <v>20</v>
      </c>
      <c r="AK37" s="711">
        <v>8</v>
      </c>
      <c r="AL37" s="27"/>
      <c r="CD37" s="709" t="s">
        <v>241</v>
      </c>
      <c r="CE37" s="709"/>
      <c r="CF37" s="711">
        <v>3</v>
      </c>
      <c r="CG37" s="711">
        <v>3</v>
      </c>
      <c r="CH37" s="711"/>
      <c r="CI37" s="711"/>
      <c r="CJ37" s="711"/>
      <c r="CK37" s="711"/>
      <c r="CL37" s="711"/>
      <c r="CM37" s="711"/>
      <c r="DF37" s="718" t="s">
        <v>92</v>
      </c>
      <c r="DG37" s="711">
        <v>3</v>
      </c>
    </row>
    <row r="38" spans="1:111">
      <c r="D38" s="718" t="s">
        <v>92</v>
      </c>
      <c r="E38" s="711"/>
      <c r="F38" s="711"/>
      <c r="G38" s="711"/>
      <c r="H38" s="711"/>
      <c r="I38" s="711"/>
      <c r="J38" s="711"/>
      <c r="K38" s="711"/>
      <c r="L38" s="711"/>
      <c r="M38" s="711"/>
      <c r="N38" s="711"/>
      <c r="O38" s="711"/>
      <c r="P38" s="711">
        <v>1</v>
      </c>
      <c r="Q38" s="711"/>
      <c r="R38" s="27"/>
      <c r="U38" s="709" t="s">
        <v>46</v>
      </c>
      <c r="V38" s="718" t="s">
        <v>91</v>
      </c>
      <c r="W38" s="711">
        <v>1</v>
      </c>
      <c r="X38" s="711">
        <v>0.8</v>
      </c>
      <c r="Y38" s="711">
        <v>0</v>
      </c>
      <c r="Z38" s="711">
        <v>1</v>
      </c>
      <c r="AA38" s="711">
        <v>0</v>
      </c>
      <c r="AB38" s="711">
        <v>1</v>
      </c>
      <c r="AC38" s="711">
        <v>0</v>
      </c>
      <c r="AD38" s="711">
        <v>1</v>
      </c>
      <c r="AE38" s="711">
        <v>0</v>
      </c>
      <c r="AF38" s="711">
        <v>1</v>
      </c>
      <c r="AG38" s="711">
        <v>1</v>
      </c>
      <c r="AH38" s="711">
        <v>0</v>
      </c>
      <c r="AI38" s="711">
        <v>4</v>
      </c>
      <c r="AJ38" s="711">
        <v>9</v>
      </c>
      <c r="AK38" s="711">
        <v>1</v>
      </c>
      <c r="AL38" s="27"/>
      <c r="CC38" s="709">
        <v>15</v>
      </c>
      <c r="CD38" s="709" t="s">
        <v>41</v>
      </c>
      <c r="CE38" s="718" t="s">
        <v>91</v>
      </c>
      <c r="CF38" s="711"/>
      <c r="CG38" s="711"/>
      <c r="CH38" s="711">
        <v>1</v>
      </c>
      <c r="CI38" s="711">
        <v>1</v>
      </c>
      <c r="CJ38" s="711">
        <v>1</v>
      </c>
      <c r="CK38" s="711">
        <v>0</v>
      </c>
      <c r="CL38" s="711"/>
      <c r="CM38" s="711"/>
      <c r="DE38" s="709" t="s">
        <v>110</v>
      </c>
      <c r="DF38" s="709"/>
      <c r="DG38" s="711">
        <v>4</v>
      </c>
    </row>
    <row r="39" spans="1:111">
      <c r="C39" s="709" t="s">
        <v>127</v>
      </c>
      <c r="D39" s="709"/>
      <c r="E39" s="711"/>
      <c r="F39" s="711"/>
      <c r="G39" s="711"/>
      <c r="H39" s="711"/>
      <c r="I39" s="711">
        <v>0</v>
      </c>
      <c r="J39" s="711">
        <v>1</v>
      </c>
      <c r="K39" s="711"/>
      <c r="L39" s="711"/>
      <c r="M39" s="711"/>
      <c r="N39" s="711"/>
      <c r="O39" s="711">
        <v>1</v>
      </c>
      <c r="P39" s="711">
        <v>1</v>
      </c>
      <c r="Q39" s="711"/>
      <c r="R39" s="27"/>
      <c r="V39" s="718" t="s">
        <v>92</v>
      </c>
      <c r="W39" s="711"/>
      <c r="X39" s="711"/>
      <c r="Y39" s="711">
        <v>0</v>
      </c>
      <c r="Z39" s="711">
        <v>1</v>
      </c>
      <c r="AA39" s="711">
        <v>0</v>
      </c>
      <c r="AB39" s="711">
        <v>1</v>
      </c>
      <c r="AC39" s="711">
        <v>0</v>
      </c>
      <c r="AD39" s="711">
        <v>1</v>
      </c>
      <c r="AE39" s="711"/>
      <c r="AF39" s="711"/>
      <c r="AG39" s="711"/>
      <c r="AH39" s="711"/>
      <c r="AI39" s="711"/>
      <c r="AJ39" s="711">
        <v>2</v>
      </c>
      <c r="AK39" s="711">
        <v>2</v>
      </c>
      <c r="AL39" s="27"/>
      <c r="CE39" s="718" t="s">
        <v>92</v>
      </c>
      <c r="CF39" s="711"/>
      <c r="CG39" s="711"/>
      <c r="CH39" s="711"/>
      <c r="CI39" s="711"/>
      <c r="CJ39" s="711"/>
      <c r="CK39" s="711"/>
      <c r="CL39" s="711">
        <v>0</v>
      </c>
      <c r="CM39" s="711">
        <v>1</v>
      </c>
      <c r="DD39" s="709" t="s">
        <v>137</v>
      </c>
      <c r="DE39" s="709"/>
      <c r="DF39" s="709"/>
      <c r="DG39" s="711">
        <v>4</v>
      </c>
    </row>
    <row r="40" spans="1:111">
      <c r="C40" s="709" t="s">
        <v>29</v>
      </c>
      <c r="D40" s="718" t="s">
        <v>91</v>
      </c>
      <c r="E40" s="711"/>
      <c r="F40" s="711"/>
      <c r="G40" s="711"/>
      <c r="H40" s="711"/>
      <c r="I40" s="711"/>
      <c r="J40" s="711"/>
      <c r="K40" s="711"/>
      <c r="L40" s="711"/>
      <c r="M40" s="711"/>
      <c r="N40" s="711"/>
      <c r="O40" s="711"/>
      <c r="P40" s="711">
        <v>1</v>
      </c>
      <c r="Q40" s="711"/>
      <c r="R40" s="27"/>
      <c r="U40" s="709" t="s">
        <v>134</v>
      </c>
      <c r="V40" s="709"/>
      <c r="W40" s="711">
        <v>1</v>
      </c>
      <c r="X40" s="711">
        <v>0.8</v>
      </c>
      <c r="Y40" s="711">
        <v>0</v>
      </c>
      <c r="Z40" s="711">
        <v>1</v>
      </c>
      <c r="AA40" s="711">
        <v>0</v>
      </c>
      <c r="AB40" s="711">
        <v>1</v>
      </c>
      <c r="AC40" s="711">
        <v>0</v>
      </c>
      <c r="AD40" s="711">
        <v>1</v>
      </c>
      <c r="AE40" s="711">
        <v>0</v>
      </c>
      <c r="AF40" s="711">
        <v>1</v>
      </c>
      <c r="AG40" s="711">
        <v>1</v>
      </c>
      <c r="AH40" s="711">
        <v>0</v>
      </c>
      <c r="AI40" s="711">
        <v>4</v>
      </c>
      <c r="AJ40" s="711">
        <v>11</v>
      </c>
      <c r="AK40" s="711">
        <v>3</v>
      </c>
      <c r="AL40" s="27"/>
      <c r="CD40" s="709" t="s">
        <v>236</v>
      </c>
      <c r="CE40" s="709"/>
      <c r="CF40" s="711"/>
      <c r="CG40" s="711"/>
      <c r="CH40" s="711">
        <v>1</v>
      </c>
      <c r="CI40" s="711">
        <v>1</v>
      </c>
      <c r="CJ40" s="711">
        <v>1</v>
      </c>
      <c r="CK40" s="711">
        <v>0</v>
      </c>
      <c r="CL40" s="711">
        <v>0</v>
      </c>
      <c r="CM40" s="711">
        <v>1</v>
      </c>
      <c r="DD40" s="709" t="s">
        <v>104</v>
      </c>
      <c r="DE40" s="709" t="s">
        <v>16</v>
      </c>
      <c r="DF40" s="718" t="s">
        <v>91</v>
      </c>
      <c r="DG40" s="711"/>
    </row>
    <row r="41" spans="1:111">
      <c r="C41" s="709" t="s">
        <v>130</v>
      </c>
      <c r="D41" s="709"/>
      <c r="E41" s="711"/>
      <c r="F41" s="711"/>
      <c r="G41" s="711"/>
      <c r="H41" s="711"/>
      <c r="I41" s="711"/>
      <c r="J41" s="711"/>
      <c r="K41" s="711"/>
      <c r="L41" s="711"/>
      <c r="M41" s="711"/>
      <c r="N41" s="711"/>
      <c r="O41" s="711"/>
      <c r="P41" s="711">
        <v>1</v>
      </c>
      <c r="Q41" s="711"/>
      <c r="R41" s="27"/>
      <c r="U41" s="709" t="s">
        <v>48</v>
      </c>
      <c r="V41" s="718" t="s">
        <v>91</v>
      </c>
      <c r="W41" s="711">
        <v>0</v>
      </c>
      <c r="X41" s="711">
        <v>1</v>
      </c>
      <c r="Y41" s="711">
        <v>1</v>
      </c>
      <c r="Z41" s="711">
        <v>0.5</v>
      </c>
      <c r="AA41" s="711">
        <v>0</v>
      </c>
      <c r="AB41" s="711">
        <v>1</v>
      </c>
      <c r="AC41" s="711">
        <v>0</v>
      </c>
      <c r="AD41" s="711">
        <v>1</v>
      </c>
      <c r="AE41" s="711"/>
      <c r="AF41" s="711"/>
      <c r="AG41" s="711">
        <v>2</v>
      </c>
      <c r="AH41" s="711">
        <v>2</v>
      </c>
      <c r="AI41" s="711">
        <v>3</v>
      </c>
      <c r="AJ41" s="711">
        <v>2</v>
      </c>
      <c r="AK41" s="711">
        <v>2</v>
      </c>
      <c r="AL41" s="27"/>
      <c r="CC41" s="716" t="s">
        <v>88</v>
      </c>
      <c r="CD41" s="716"/>
      <c r="CE41" s="716"/>
      <c r="CF41" s="715">
        <v>10</v>
      </c>
      <c r="CG41" s="715">
        <v>15</v>
      </c>
      <c r="CH41" s="715">
        <v>5</v>
      </c>
      <c r="CI41" s="715">
        <v>5</v>
      </c>
      <c r="CJ41" s="715">
        <v>1</v>
      </c>
      <c r="CK41" s="715">
        <v>0.8</v>
      </c>
      <c r="CL41" s="715">
        <v>1</v>
      </c>
      <c r="CM41" s="715">
        <v>1</v>
      </c>
      <c r="DF41" s="718" t="s">
        <v>92</v>
      </c>
      <c r="DG41" s="711">
        <v>3</v>
      </c>
    </row>
    <row r="42" spans="1:111">
      <c r="C42" s="709" t="s">
        <v>14</v>
      </c>
      <c r="D42" s="718" t="s">
        <v>91</v>
      </c>
      <c r="E42" s="711">
        <v>1</v>
      </c>
      <c r="F42" s="711">
        <v>0.5</v>
      </c>
      <c r="G42" s="711">
        <v>0</v>
      </c>
      <c r="H42" s="711">
        <v>1</v>
      </c>
      <c r="I42" s="711"/>
      <c r="J42" s="711"/>
      <c r="K42" s="711">
        <v>0</v>
      </c>
      <c r="L42" s="711">
        <v>1</v>
      </c>
      <c r="M42" s="711"/>
      <c r="N42" s="711"/>
      <c r="O42" s="711"/>
      <c r="P42" s="711">
        <v>1</v>
      </c>
      <c r="Q42" s="711">
        <v>1</v>
      </c>
      <c r="R42" s="27"/>
      <c r="V42" s="718" t="s">
        <v>92</v>
      </c>
      <c r="W42" s="711">
        <v>0</v>
      </c>
      <c r="X42" s="711">
        <v>1</v>
      </c>
      <c r="Y42" s="711">
        <v>0</v>
      </c>
      <c r="Z42" s="711">
        <v>1</v>
      </c>
      <c r="AA42" s="711">
        <v>0</v>
      </c>
      <c r="AB42" s="711">
        <v>1</v>
      </c>
      <c r="AC42" s="711">
        <v>0</v>
      </c>
      <c r="AD42" s="711">
        <v>1</v>
      </c>
      <c r="AE42" s="711">
        <v>0</v>
      </c>
      <c r="AF42" s="711">
        <v>1</v>
      </c>
      <c r="AG42" s="711">
        <v>0</v>
      </c>
      <c r="AH42" s="711">
        <v>1</v>
      </c>
      <c r="AI42" s="711">
        <v>1</v>
      </c>
      <c r="AJ42" s="711">
        <v>2</v>
      </c>
      <c r="AK42" s="711">
        <v>1</v>
      </c>
      <c r="AL42" s="27"/>
      <c r="DE42" s="709" t="s">
        <v>110</v>
      </c>
      <c r="DF42" s="709"/>
      <c r="DG42" s="711">
        <v>3</v>
      </c>
    </row>
    <row r="43" spans="1:111">
      <c r="D43" s="718" t="s">
        <v>92</v>
      </c>
      <c r="E43" s="711"/>
      <c r="F43" s="711"/>
      <c r="G43" s="711"/>
      <c r="H43" s="711"/>
      <c r="I43" s="711">
        <v>0</v>
      </c>
      <c r="J43" s="711">
        <v>1</v>
      </c>
      <c r="K43" s="711"/>
      <c r="L43" s="711"/>
      <c r="M43" s="711"/>
      <c r="N43" s="711"/>
      <c r="O43" s="711"/>
      <c r="P43" s="711"/>
      <c r="Q43" s="711"/>
      <c r="R43" s="27"/>
      <c r="U43" s="709" t="s">
        <v>135</v>
      </c>
      <c r="V43" s="709"/>
      <c r="W43" s="711">
        <v>0</v>
      </c>
      <c r="X43" s="711">
        <v>1</v>
      </c>
      <c r="Y43" s="711">
        <v>1</v>
      </c>
      <c r="Z43" s="711">
        <v>0.66666666666666663</v>
      </c>
      <c r="AA43" s="711">
        <v>0</v>
      </c>
      <c r="AB43" s="711">
        <v>1</v>
      </c>
      <c r="AC43" s="711">
        <v>0</v>
      </c>
      <c r="AD43" s="711">
        <v>1</v>
      </c>
      <c r="AE43" s="711">
        <v>0</v>
      </c>
      <c r="AF43" s="711">
        <v>1</v>
      </c>
      <c r="AG43" s="711">
        <v>2</v>
      </c>
      <c r="AH43" s="711">
        <v>3</v>
      </c>
      <c r="AI43" s="711">
        <v>4</v>
      </c>
      <c r="AJ43" s="711">
        <v>4</v>
      </c>
      <c r="AK43" s="711">
        <v>3</v>
      </c>
      <c r="AL43" s="27"/>
      <c r="DD43" s="709" t="s">
        <v>138</v>
      </c>
      <c r="DE43" s="709"/>
      <c r="DF43" s="709"/>
      <c r="DG43" s="711">
        <v>3</v>
      </c>
    </row>
    <row r="44" spans="1:111">
      <c r="C44" s="709" t="s">
        <v>131</v>
      </c>
      <c r="D44" s="709"/>
      <c r="E44" s="711">
        <v>1</v>
      </c>
      <c r="F44" s="711">
        <v>0.5</v>
      </c>
      <c r="G44" s="711">
        <v>0</v>
      </c>
      <c r="H44" s="711">
        <v>1</v>
      </c>
      <c r="I44" s="711">
        <v>0</v>
      </c>
      <c r="J44" s="711">
        <v>1</v>
      </c>
      <c r="K44" s="711">
        <v>0</v>
      </c>
      <c r="L44" s="711">
        <v>1</v>
      </c>
      <c r="M44" s="711"/>
      <c r="N44" s="711"/>
      <c r="O44" s="711"/>
      <c r="P44" s="711">
        <v>1</v>
      </c>
      <c r="Q44" s="711">
        <v>1</v>
      </c>
      <c r="R44" s="27"/>
      <c r="U44" s="709" t="s">
        <v>103</v>
      </c>
      <c r="V44" s="718" t="s">
        <v>91</v>
      </c>
      <c r="W44" s="711">
        <v>1</v>
      </c>
      <c r="X44" s="711">
        <v>0.8571428571428571</v>
      </c>
      <c r="Y44" s="711">
        <v>1</v>
      </c>
      <c r="Z44" s="711">
        <v>0.66666666666666663</v>
      </c>
      <c r="AA44" s="711">
        <v>0</v>
      </c>
      <c r="AB44" s="711">
        <v>1</v>
      </c>
      <c r="AC44" s="711">
        <v>0</v>
      </c>
      <c r="AD44" s="711">
        <v>1</v>
      </c>
      <c r="AE44" s="711">
        <v>0</v>
      </c>
      <c r="AF44" s="711">
        <v>1</v>
      </c>
      <c r="AG44" s="711">
        <v>3</v>
      </c>
      <c r="AH44" s="711">
        <v>2</v>
      </c>
      <c r="AI44" s="711">
        <v>7</v>
      </c>
      <c r="AJ44" s="711">
        <v>11</v>
      </c>
      <c r="AK44" s="711">
        <v>3</v>
      </c>
      <c r="AL44" s="27"/>
      <c r="DD44" s="716" t="s">
        <v>88</v>
      </c>
      <c r="DE44" s="716"/>
      <c r="DF44" s="716"/>
      <c r="DG44" s="715">
        <v>46</v>
      </c>
    </row>
    <row r="45" spans="1:111">
      <c r="B45" s="709" t="s">
        <v>111</v>
      </c>
      <c r="C45" s="709"/>
      <c r="D45" s="709"/>
      <c r="E45" s="711">
        <v>1</v>
      </c>
      <c r="F45" s="711">
        <v>0.66666666666666663</v>
      </c>
      <c r="G45" s="711">
        <v>1</v>
      </c>
      <c r="H45" s="711">
        <v>0.66666666666666663</v>
      </c>
      <c r="I45" s="711">
        <v>0</v>
      </c>
      <c r="J45" s="711">
        <v>1</v>
      </c>
      <c r="K45" s="711">
        <v>0</v>
      </c>
      <c r="L45" s="711">
        <v>1</v>
      </c>
      <c r="M45" s="711"/>
      <c r="N45" s="711"/>
      <c r="O45" s="711">
        <v>1</v>
      </c>
      <c r="P45" s="711">
        <v>4</v>
      </c>
      <c r="Q45" s="711">
        <v>3</v>
      </c>
      <c r="R45" s="27"/>
      <c r="V45" s="718" t="s">
        <v>92</v>
      </c>
      <c r="W45" s="711">
        <v>0</v>
      </c>
      <c r="X45" s="711">
        <v>1</v>
      </c>
      <c r="Y45" s="711">
        <v>0</v>
      </c>
      <c r="Z45" s="711">
        <v>1</v>
      </c>
      <c r="AA45" s="711">
        <v>0</v>
      </c>
      <c r="AB45" s="711">
        <v>1</v>
      </c>
      <c r="AC45" s="711">
        <v>0</v>
      </c>
      <c r="AD45" s="711">
        <v>1</v>
      </c>
      <c r="AE45" s="711">
        <v>0</v>
      </c>
      <c r="AF45" s="711">
        <v>1</v>
      </c>
      <c r="AG45" s="711">
        <v>0</v>
      </c>
      <c r="AH45" s="711">
        <v>1</v>
      </c>
      <c r="AI45" s="711">
        <v>1</v>
      </c>
      <c r="AJ45" s="711">
        <v>4</v>
      </c>
      <c r="AK45" s="711">
        <v>3</v>
      </c>
      <c r="AL45" s="27"/>
    </row>
    <row r="46" spans="1:111">
      <c r="A46" s="709" t="s">
        <v>93</v>
      </c>
      <c r="B46" s="709"/>
      <c r="C46" s="709"/>
      <c r="D46" s="709"/>
      <c r="E46" s="711">
        <v>1</v>
      </c>
      <c r="F46" s="711">
        <v>0.9375</v>
      </c>
      <c r="G46" s="711">
        <v>1</v>
      </c>
      <c r="H46" s="711">
        <v>0.9375</v>
      </c>
      <c r="I46" s="711">
        <v>0</v>
      </c>
      <c r="J46" s="711">
        <v>1</v>
      </c>
      <c r="K46" s="711">
        <v>0</v>
      </c>
      <c r="L46" s="711">
        <v>1</v>
      </c>
      <c r="M46" s="711">
        <v>0</v>
      </c>
      <c r="N46" s="711">
        <v>1</v>
      </c>
      <c r="O46" s="711">
        <v>18</v>
      </c>
      <c r="P46" s="711">
        <v>24</v>
      </c>
      <c r="Q46" s="711">
        <v>16</v>
      </c>
      <c r="R46" s="27"/>
      <c r="U46" s="709" t="s">
        <v>136</v>
      </c>
      <c r="V46" s="709"/>
      <c r="W46" s="711">
        <v>1</v>
      </c>
      <c r="X46" s="711">
        <v>0.875</v>
      </c>
      <c r="Y46" s="711">
        <v>1</v>
      </c>
      <c r="Z46" s="711">
        <v>0.83333333333333337</v>
      </c>
      <c r="AA46" s="711">
        <v>0</v>
      </c>
      <c r="AB46" s="711">
        <v>1</v>
      </c>
      <c r="AC46" s="711">
        <v>0</v>
      </c>
      <c r="AD46" s="711">
        <v>1</v>
      </c>
      <c r="AE46" s="711">
        <v>0</v>
      </c>
      <c r="AF46" s="711">
        <v>1</v>
      </c>
      <c r="AG46" s="711">
        <v>3</v>
      </c>
      <c r="AH46" s="711">
        <v>3</v>
      </c>
      <c r="AI46" s="711">
        <v>8</v>
      </c>
      <c r="AJ46" s="711">
        <v>15</v>
      </c>
      <c r="AK46" s="711">
        <v>6</v>
      </c>
      <c r="AL46" s="27"/>
    </row>
    <row r="47" spans="1:111">
      <c r="A47" s="709">
        <v>2</v>
      </c>
      <c r="B47" s="709" t="s">
        <v>16</v>
      </c>
      <c r="C47" s="709" t="s">
        <v>45</v>
      </c>
      <c r="D47" s="718" t="s">
        <v>91</v>
      </c>
      <c r="E47" s="711">
        <v>0</v>
      </c>
      <c r="F47" s="711">
        <v>1</v>
      </c>
      <c r="G47" s="711">
        <v>0</v>
      </c>
      <c r="H47" s="711">
        <v>1</v>
      </c>
      <c r="I47" s="711">
        <v>0</v>
      </c>
      <c r="J47" s="711">
        <v>1</v>
      </c>
      <c r="K47" s="711">
        <v>0</v>
      </c>
      <c r="L47" s="711">
        <v>1</v>
      </c>
      <c r="M47" s="711">
        <v>0</v>
      </c>
      <c r="N47" s="711">
        <v>1</v>
      </c>
      <c r="O47" s="711">
        <v>8</v>
      </c>
      <c r="P47" s="711">
        <v>9</v>
      </c>
      <c r="Q47" s="711">
        <v>3</v>
      </c>
      <c r="R47" s="27"/>
      <c r="U47" s="709" t="s">
        <v>47</v>
      </c>
      <c r="V47" s="718" t="s">
        <v>91</v>
      </c>
      <c r="W47" s="711">
        <v>0</v>
      </c>
      <c r="X47" s="711">
        <v>1</v>
      </c>
      <c r="Y47" s="711">
        <v>0</v>
      </c>
      <c r="Z47" s="711">
        <v>1</v>
      </c>
      <c r="AA47" s="711"/>
      <c r="AB47" s="711"/>
      <c r="AC47" s="711">
        <v>0</v>
      </c>
      <c r="AD47" s="711">
        <v>1</v>
      </c>
      <c r="AE47" s="711"/>
      <c r="AF47" s="711"/>
      <c r="AG47" s="711"/>
      <c r="AH47" s="711"/>
      <c r="AI47" s="711"/>
      <c r="AJ47" s="711">
        <v>1</v>
      </c>
      <c r="AK47" s="711">
        <v>5</v>
      </c>
      <c r="AL47" s="27"/>
    </row>
    <row r="48" spans="1:111">
      <c r="D48" s="718" t="s">
        <v>92</v>
      </c>
      <c r="E48" s="711"/>
      <c r="F48" s="711"/>
      <c r="G48" s="711">
        <v>0</v>
      </c>
      <c r="H48" s="711">
        <v>1</v>
      </c>
      <c r="I48" s="711"/>
      <c r="J48" s="711"/>
      <c r="K48" s="711">
        <v>0</v>
      </c>
      <c r="L48" s="711">
        <v>1</v>
      </c>
      <c r="M48" s="711">
        <v>0</v>
      </c>
      <c r="N48" s="711">
        <v>1</v>
      </c>
      <c r="O48" s="711">
        <v>5</v>
      </c>
      <c r="P48" s="711">
        <v>7</v>
      </c>
      <c r="Q48" s="711">
        <v>2</v>
      </c>
      <c r="R48" s="27"/>
      <c r="V48" s="718" t="s">
        <v>92</v>
      </c>
      <c r="W48" s="711">
        <v>0</v>
      </c>
      <c r="X48" s="711">
        <v>1</v>
      </c>
      <c r="Y48" s="711">
        <v>0</v>
      </c>
      <c r="Z48" s="711">
        <v>1</v>
      </c>
      <c r="AA48" s="711"/>
      <c r="AB48" s="711"/>
      <c r="AC48" s="711">
        <v>0</v>
      </c>
      <c r="AD48" s="711">
        <v>1</v>
      </c>
      <c r="AE48" s="711"/>
      <c r="AF48" s="711"/>
      <c r="AG48" s="711"/>
      <c r="AH48" s="711"/>
      <c r="AI48" s="711"/>
      <c r="AJ48" s="711">
        <v>3</v>
      </c>
      <c r="AK48" s="711">
        <v>3</v>
      </c>
      <c r="AL48" s="27"/>
    </row>
    <row r="49" spans="3:38">
      <c r="C49" s="709" t="s">
        <v>133</v>
      </c>
      <c r="D49" s="709"/>
      <c r="E49" s="711">
        <v>0</v>
      </c>
      <c r="F49" s="711">
        <v>1</v>
      </c>
      <c r="G49" s="711">
        <v>0</v>
      </c>
      <c r="H49" s="711">
        <v>1</v>
      </c>
      <c r="I49" s="711">
        <v>0</v>
      </c>
      <c r="J49" s="711">
        <v>1</v>
      </c>
      <c r="K49" s="711">
        <v>0</v>
      </c>
      <c r="L49" s="711">
        <v>1</v>
      </c>
      <c r="M49" s="711">
        <v>0</v>
      </c>
      <c r="N49" s="711">
        <v>1</v>
      </c>
      <c r="O49" s="711">
        <v>13</v>
      </c>
      <c r="P49" s="711">
        <v>16</v>
      </c>
      <c r="Q49" s="711">
        <v>5</v>
      </c>
      <c r="R49" s="27"/>
      <c r="U49" s="709" t="s">
        <v>137</v>
      </c>
      <c r="V49" s="709"/>
      <c r="W49" s="711">
        <v>0</v>
      </c>
      <c r="X49" s="711">
        <v>1</v>
      </c>
      <c r="Y49" s="711">
        <v>0</v>
      </c>
      <c r="Z49" s="711">
        <v>1</v>
      </c>
      <c r="AA49" s="711"/>
      <c r="AB49" s="711"/>
      <c r="AC49" s="711">
        <v>0</v>
      </c>
      <c r="AD49" s="711">
        <v>1</v>
      </c>
      <c r="AE49" s="711"/>
      <c r="AF49" s="711"/>
      <c r="AG49" s="711"/>
      <c r="AH49" s="711"/>
      <c r="AI49" s="711"/>
      <c r="AJ49" s="711">
        <v>4</v>
      </c>
      <c r="AK49" s="711">
        <v>8</v>
      </c>
      <c r="AL49" s="27"/>
    </row>
    <row r="50" spans="3:38">
      <c r="C50" s="709" t="s">
        <v>46</v>
      </c>
      <c r="D50" s="718" t="s">
        <v>91</v>
      </c>
      <c r="E50" s="711">
        <v>0</v>
      </c>
      <c r="F50" s="711">
        <v>1</v>
      </c>
      <c r="G50" s="711"/>
      <c r="H50" s="711"/>
      <c r="I50" s="711">
        <v>0</v>
      </c>
      <c r="J50" s="711">
        <v>1</v>
      </c>
      <c r="K50" s="711"/>
      <c r="L50" s="711"/>
      <c r="M50" s="711">
        <v>0</v>
      </c>
      <c r="N50" s="711">
        <v>1</v>
      </c>
      <c r="O50" s="711">
        <v>4</v>
      </c>
      <c r="P50" s="711">
        <v>7</v>
      </c>
      <c r="Q50" s="711"/>
      <c r="R50" s="27"/>
      <c r="U50" s="709" t="s">
        <v>104</v>
      </c>
      <c r="V50" s="718" t="s">
        <v>91</v>
      </c>
      <c r="W50" s="711">
        <v>0</v>
      </c>
      <c r="X50" s="711">
        <v>1</v>
      </c>
      <c r="Y50" s="711">
        <v>0</v>
      </c>
      <c r="Z50" s="711">
        <v>1</v>
      </c>
      <c r="AA50" s="711">
        <v>0</v>
      </c>
      <c r="AB50" s="711">
        <v>1</v>
      </c>
      <c r="AC50" s="711">
        <v>0</v>
      </c>
      <c r="AD50" s="711">
        <v>1</v>
      </c>
      <c r="AE50" s="711"/>
      <c r="AF50" s="711"/>
      <c r="AG50" s="711">
        <v>1</v>
      </c>
      <c r="AH50" s="711">
        <v>0</v>
      </c>
      <c r="AI50" s="711">
        <v>2</v>
      </c>
      <c r="AJ50" s="711">
        <v>1</v>
      </c>
      <c r="AK50" s="711">
        <v>2</v>
      </c>
      <c r="AL50" s="27"/>
    </row>
    <row r="51" spans="3:38">
      <c r="D51" s="718" t="s">
        <v>92</v>
      </c>
      <c r="E51" s="711"/>
      <c r="F51" s="711"/>
      <c r="G51" s="711">
        <v>0</v>
      </c>
      <c r="H51" s="711">
        <v>1</v>
      </c>
      <c r="I51" s="711"/>
      <c r="J51" s="711"/>
      <c r="K51" s="711">
        <v>0</v>
      </c>
      <c r="L51" s="711">
        <v>1</v>
      </c>
      <c r="M51" s="711"/>
      <c r="N51" s="711"/>
      <c r="O51" s="711"/>
      <c r="P51" s="711">
        <v>2</v>
      </c>
      <c r="Q51" s="711">
        <v>2</v>
      </c>
      <c r="R51" s="27"/>
      <c r="V51" s="718" t="s">
        <v>92</v>
      </c>
      <c r="W51" s="711"/>
      <c r="X51" s="711"/>
      <c r="Y51" s="711"/>
      <c r="Z51" s="711"/>
      <c r="AA51" s="711"/>
      <c r="AB51" s="711"/>
      <c r="AC51" s="711"/>
      <c r="AD51" s="711"/>
      <c r="AE51" s="711"/>
      <c r="AF51" s="711"/>
      <c r="AG51" s="711"/>
      <c r="AH51" s="711"/>
      <c r="AI51" s="711">
        <v>8</v>
      </c>
      <c r="AJ51" s="711">
        <v>4</v>
      </c>
      <c r="AK51" s="711"/>
      <c r="AL51" s="27"/>
    </row>
    <row r="52" spans="3:38">
      <c r="C52" s="709" t="s">
        <v>134</v>
      </c>
      <c r="D52" s="709"/>
      <c r="E52" s="711">
        <v>0</v>
      </c>
      <c r="F52" s="711">
        <v>1</v>
      </c>
      <c r="G52" s="711">
        <v>0</v>
      </c>
      <c r="H52" s="711">
        <v>1</v>
      </c>
      <c r="I52" s="711">
        <v>0</v>
      </c>
      <c r="J52" s="711">
        <v>1</v>
      </c>
      <c r="K52" s="711">
        <v>0</v>
      </c>
      <c r="L52" s="711">
        <v>1</v>
      </c>
      <c r="M52" s="711">
        <v>0</v>
      </c>
      <c r="N52" s="711">
        <v>1</v>
      </c>
      <c r="O52" s="711">
        <v>4</v>
      </c>
      <c r="P52" s="711">
        <v>9</v>
      </c>
      <c r="Q52" s="711">
        <v>2</v>
      </c>
      <c r="R52" s="27"/>
      <c r="U52" s="709" t="s">
        <v>138</v>
      </c>
      <c r="V52" s="709"/>
      <c r="W52" s="711">
        <v>0</v>
      </c>
      <c r="X52" s="711">
        <v>1</v>
      </c>
      <c r="Y52" s="711">
        <v>0</v>
      </c>
      <c r="Z52" s="711">
        <v>1</v>
      </c>
      <c r="AA52" s="711">
        <v>0</v>
      </c>
      <c r="AB52" s="711">
        <v>1</v>
      </c>
      <c r="AC52" s="711">
        <v>0</v>
      </c>
      <c r="AD52" s="711">
        <v>1</v>
      </c>
      <c r="AE52" s="711"/>
      <c r="AF52" s="711"/>
      <c r="AG52" s="711">
        <v>1</v>
      </c>
      <c r="AH52" s="711">
        <v>0</v>
      </c>
      <c r="AI52" s="711">
        <v>10</v>
      </c>
      <c r="AJ52" s="711">
        <v>5</v>
      </c>
      <c r="AK52" s="711">
        <v>2</v>
      </c>
      <c r="AL52" s="27"/>
    </row>
    <row r="53" spans="3:38">
      <c r="C53" s="709" t="s">
        <v>48</v>
      </c>
      <c r="D53" s="718" t="s">
        <v>91</v>
      </c>
      <c r="E53" s="711">
        <v>0</v>
      </c>
      <c r="F53" s="711">
        <v>1</v>
      </c>
      <c r="G53" s="711">
        <v>0</v>
      </c>
      <c r="H53" s="711">
        <v>1</v>
      </c>
      <c r="I53" s="711">
        <v>0</v>
      </c>
      <c r="J53" s="711">
        <v>1</v>
      </c>
      <c r="K53" s="711">
        <v>0</v>
      </c>
      <c r="L53" s="711">
        <v>1</v>
      </c>
      <c r="M53" s="711"/>
      <c r="N53" s="711"/>
      <c r="O53" s="711">
        <v>2</v>
      </c>
      <c r="P53" s="711">
        <v>1</v>
      </c>
      <c r="Q53" s="711">
        <v>1</v>
      </c>
      <c r="R53" s="27"/>
      <c r="T53" s="709" t="s">
        <v>94</v>
      </c>
      <c r="U53" s="709"/>
      <c r="V53" s="709"/>
      <c r="W53" s="711">
        <v>3</v>
      </c>
      <c r="X53" s="711">
        <v>0.91176470588235292</v>
      </c>
      <c r="Y53" s="711">
        <v>3</v>
      </c>
      <c r="Z53" s="711">
        <v>0.9</v>
      </c>
      <c r="AA53" s="711">
        <v>0</v>
      </c>
      <c r="AB53" s="711">
        <v>1</v>
      </c>
      <c r="AC53" s="711">
        <v>0</v>
      </c>
      <c r="AD53" s="711">
        <v>1</v>
      </c>
      <c r="AE53" s="711">
        <v>0</v>
      </c>
      <c r="AF53" s="711">
        <v>1</v>
      </c>
      <c r="AG53" s="711">
        <v>11</v>
      </c>
      <c r="AH53" s="711">
        <v>9</v>
      </c>
      <c r="AI53" s="711">
        <v>40</v>
      </c>
      <c r="AJ53" s="711">
        <v>59</v>
      </c>
      <c r="AK53" s="711">
        <v>30</v>
      </c>
      <c r="AL53" s="27"/>
    </row>
    <row r="54" spans="3:38">
      <c r="D54" s="718" t="s">
        <v>92</v>
      </c>
      <c r="E54" s="711"/>
      <c r="F54" s="711"/>
      <c r="G54" s="711"/>
      <c r="H54" s="711"/>
      <c r="I54" s="711"/>
      <c r="J54" s="711"/>
      <c r="K54" s="711"/>
      <c r="L54" s="711"/>
      <c r="M54" s="711">
        <v>0</v>
      </c>
      <c r="N54" s="711">
        <v>1</v>
      </c>
      <c r="O54" s="711">
        <v>1</v>
      </c>
      <c r="P54" s="711">
        <v>1</v>
      </c>
      <c r="Q54" s="711"/>
      <c r="R54" s="27"/>
      <c r="T54" s="709" t="s">
        <v>88</v>
      </c>
      <c r="W54" s="711">
        <v>4</v>
      </c>
      <c r="X54" s="711">
        <v>0.92</v>
      </c>
      <c r="Y54" s="711">
        <v>4</v>
      </c>
      <c r="Z54" s="711">
        <v>0.91304347826086951</v>
      </c>
      <c r="AA54" s="711">
        <v>0</v>
      </c>
      <c r="AB54" s="711">
        <v>1</v>
      </c>
      <c r="AC54" s="711">
        <v>0</v>
      </c>
      <c r="AD54" s="711">
        <v>1</v>
      </c>
      <c r="AE54" s="711">
        <v>0</v>
      </c>
      <c r="AF54" s="711">
        <v>1</v>
      </c>
      <c r="AG54" s="711">
        <v>15</v>
      </c>
      <c r="AH54" s="711">
        <v>12</v>
      </c>
      <c r="AI54" s="711">
        <v>58</v>
      </c>
      <c r="AJ54" s="711">
        <v>83</v>
      </c>
      <c r="AK54" s="711">
        <v>46</v>
      </c>
      <c r="AL54" s="27"/>
    </row>
    <row r="55" spans="3:38">
      <c r="C55" s="709" t="s">
        <v>135</v>
      </c>
      <c r="D55" s="709"/>
      <c r="E55" s="711">
        <v>0</v>
      </c>
      <c r="F55" s="711">
        <v>1</v>
      </c>
      <c r="G55" s="711">
        <v>0</v>
      </c>
      <c r="H55" s="711">
        <v>1</v>
      </c>
      <c r="I55" s="711">
        <v>0</v>
      </c>
      <c r="J55" s="711">
        <v>1</v>
      </c>
      <c r="K55" s="711">
        <v>0</v>
      </c>
      <c r="L55" s="711">
        <v>1</v>
      </c>
      <c r="M55" s="711">
        <v>0</v>
      </c>
      <c r="N55" s="711">
        <v>1</v>
      </c>
      <c r="O55" s="711">
        <v>3</v>
      </c>
      <c r="P55" s="711">
        <v>2</v>
      </c>
      <c r="Q55" s="711">
        <v>1</v>
      </c>
      <c r="R55" s="27"/>
    </row>
    <row r="56" spans="3:38">
      <c r="C56" s="709" t="s">
        <v>103</v>
      </c>
      <c r="D56" s="718" t="s">
        <v>91</v>
      </c>
      <c r="E56" s="711">
        <v>0</v>
      </c>
      <c r="F56" s="711">
        <v>1</v>
      </c>
      <c r="G56" s="711">
        <v>0</v>
      </c>
      <c r="H56" s="711">
        <v>1</v>
      </c>
      <c r="I56" s="711">
        <v>0</v>
      </c>
      <c r="J56" s="711">
        <v>1</v>
      </c>
      <c r="K56" s="711">
        <v>0</v>
      </c>
      <c r="L56" s="711">
        <v>1</v>
      </c>
      <c r="M56" s="711">
        <v>0</v>
      </c>
      <c r="N56" s="711">
        <v>1</v>
      </c>
      <c r="O56" s="711">
        <v>6</v>
      </c>
      <c r="P56" s="711">
        <v>8</v>
      </c>
      <c r="Q56" s="711">
        <v>1</v>
      </c>
      <c r="R56" s="27"/>
    </row>
    <row r="57" spans="3:38">
      <c r="D57" s="718" t="s">
        <v>92</v>
      </c>
      <c r="E57" s="711"/>
      <c r="F57" s="711"/>
      <c r="G57" s="711">
        <v>0</v>
      </c>
      <c r="H57" s="711">
        <v>1</v>
      </c>
      <c r="I57" s="711"/>
      <c r="J57" s="711"/>
      <c r="K57" s="711">
        <v>0</v>
      </c>
      <c r="L57" s="711">
        <v>1</v>
      </c>
      <c r="M57" s="711">
        <v>0</v>
      </c>
      <c r="N57" s="711">
        <v>1</v>
      </c>
      <c r="O57" s="711">
        <v>1</v>
      </c>
      <c r="P57" s="711">
        <v>3</v>
      </c>
      <c r="Q57" s="711">
        <v>2</v>
      </c>
      <c r="R57" s="27"/>
    </row>
    <row r="58" spans="3:38">
      <c r="C58" s="709" t="s">
        <v>136</v>
      </c>
      <c r="D58" s="709"/>
      <c r="E58" s="711">
        <v>0</v>
      </c>
      <c r="F58" s="711">
        <v>1</v>
      </c>
      <c r="G58" s="711">
        <v>0</v>
      </c>
      <c r="H58" s="711">
        <v>1</v>
      </c>
      <c r="I58" s="711">
        <v>0</v>
      </c>
      <c r="J58" s="711">
        <v>1</v>
      </c>
      <c r="K58" s="711">
        <v>0</v>
      </c>
      <c r="L58" s="711">
        <v>1</v>
      </c>
      <c r="M58" s="711">
        <v>0</v>
      </c>
      <c r="N58" s="711">
        <v>1</v>
      </c>
      <c r="O58" s="711">
        <v>7</v>
      </c>
      <c r="P58" s="711">
        <v>11</v>
      </c>
      <c r="Q58" s="711">
        <v>3</v>
      </c>
      <c r="R58" s="27"/>
    </row>
    <row r="59" spans="3:38">
      <c r="C59" s="709" t="s">
        <v>47</v>
      </c>
      <c r="D59" s="718" t="s">
        <v>91</v>
      </c>
      <c r="E59" s="711">
        <v>0</v>
      </c>
      <c r="F59" s="711">
        <v>1</v>
      </c>
      <c r="G59" s="711">
        <v>0</v>
      </c>
      <c r="H59" s="711">
        <v>1</v>
      </c>
      <c r="I59" s="711"/>
      <c r="J59" s="711"/>
      <c r="K59" s="711">
        <v>0</v>
      </c>
      <c r="L59" s="711">
        <v>1</v>
      </c>
      <c r="M59" s="711"/>
      <c r="N59" s="711"/>
      <c r="O59" s="711"/>
      <c r="P59" s="711">
        <v>1</v>
      </c>
      <c r="Q59" s="711">
        <v>5</v>
      </c>
      <c r="R59" s="27"/>
    </row>
    <row r="60" spans="3:38">
      <c r="D60" s="718" t="s">
        <v>92</v>
      </c>
      <c r="E60" s="711">
        <v>0</v>
      </c>
      <c r="F60" s="711">
        <v>1</v>
      </c>
      <c r="G60" s="711">
        <v>0</v>
      </c>
      <c r="H60" s="711">
        <v>1</v>
      </c>
      <c r="I60" s="711"/>
      <c r="J60" s="711"/>
      <c r="K60" s="711">
        <v>0</v>
      </c>
      <c r="L60" s="711">
        <v>1</v>
      </c>
      <c r="M60" s="711"/>
      <c r="N60" s="711"/>
      <c r="O60" s="711"/>
      <c r="P60" s="711">
        <v>3</v>
      </c>
      <c r="Q60" s="711">
        <v>3</v>
      </c>
      <c r="R60" s="27"/>
    </row>
    <row r="61" spans="3:38">
      <c r="C61" s="709" t="s">
        <v>137</v>
      </c>
      <c r="D61" s="709"/>
      <c r="E61" s="711">
        <v>0</v>
      </c>
      <c r="F61" s="711">
        <v>1</v>
      </c>
      <c r="G61" s="711">
        <v>0</v>
      </c>
      <c r="H61" s="711">
        <v>1</v>
      </c>
      <c r="I61" s="711"/>
      <c r="J61" s="711"/>
      <c r="K61" s="711">
        <v>0</v>
      </c>
      <c r="L61" s="711">
        <v>1</v>
      </c>
      <c r="M61" s="711"/>
      <c r="N61" s="711"/>
      <c r="O61" s="711"/>
      <c r="P61" s="711">
        <v>4</v>
      </c>
      <c r="Q61" s="711">
        <v>8</v>
      </c>
      <c r="R61" s="27"/>
    </row>
    <row r="62" spans="3:38">
      <c r="C62" s="709" t="s">
        <v>104</v>
      </c>
      <c r="D62" s="718" t="s">
        <v>91</v>
      </c>
      <c r="E62" s="711">
        <v>0</v>
      </c>
      <c r="F62" s="711">
        <v>1</v>
      </c>
      <c r="G62" s="711">
        <v>0</v>
      </c>
      <c r="H62" s="711">
        <v>1</v>
      </c>
      <c r="I62" s="711">
        <v>0</v>
      </c>
      <c r="J62" s="711">
        <v>1</v>
      </c>
      <c r="K62" s="711">
        <v>0</v>
      </c>
      <c r="L62" s="711">
        <v>1</v>
      </c>
      <c r="M62" s="711"/>
      <c r="N62" s="711"/>
      <c r="O62" s="711">
        <v>2</v>
      </c>
      <c r="P62" s="711">
        <v>1</v>
      </c>
      <c r="Q62" s="711">
        <v>2</v>
      </c>
      <c r="R62" s="27"/>
    </row>
    <row r="63" spans="3:38">
      <c r="D63" s="718" t="s">
        <v>92</v>
      </c>
      <c r="E63" s="711"/>
      <c r="F63" s="711"/>
      <c r="G63" s="711"/>
      <c r="H63" s="711"/>
      <c r="I63" s="711"/>
      <c r="J63" s="711"/>
      <c r="K63" s="711"/>
      <c r="L63" s="711"/>
      <c r="M63" s="711"/>
      <c r="N63" s="711"/>
      <c r="O63" s="711">
        <v>8</v>
      </c>
      <c r="P63" s="711">
        <v>4</v>
      </c>
      <c r="Q63" s="711"/>
      <c r="R63" s="27"/>
    </row>
    <row r="64" spans="3:38">
      <c r="C64" s="709" t="s">
        <v>138</v>
      </c>
      <c r="D64" s="709"/>
      <c r="E64" s="711">
        <v>0</v>
      </c>
      <c r="F64" s="711">
        <v>1</v>
      </c>
      <c r="G64" s="711">
        <v>0</v>
      </c>
      <c r="H64" s="711">
        <v>1</v>
      </c>
      <c r="I64" s="711">
        <v>0</v>
      </c>
      <c r="J64" s="711">
        <v>1</v>
      </c>
      <c r="K64" s="711">
        <v>0</v>
      </c>
      <c r="L64" s="711">
        <v>1</v>
      </c>
      <c r="M64" s="711"/>
      <c r="N64" s="711"/>
      <c r="O64" s="711">
        <v>10</v>
      </c>
      <c r="P64" s="711">
        <v>5</v>
      </c>
      <c r="Q64" s="711">
        <v>2</v>
      </c>
      <c r="R64" s="27"/>
    </row>
    <row r="65" spans="1:18">
      <c r="B65" s="709" t="s">
        <v>110</v>
      </c>
      <c r="C65" s="709"/>
      <c r="D65" s="709"/>
      <c r="E65" s="711">
        <v>0</v>
      </c>
      <c r="F65" s="711">
        <v>1</v>
      </c>
      <c r="G65" s="711">
        <v>0</v>
      </c>
      <c r="H65" s="711">
        <v>1</v>
      </c>
      <c r="I65" s="711">
        <v>0</v>
      </c>
      <c r="J65" s="711">
        <v>1</v>
      </c>
      <c r="K65" s="711">
        <v>0</v>
      </c>
      <c r="L65" s="711">
        <v>1</v>
      </c>
      <c r="M65" s="711">
        <v>0</v>
      </c>
      <c r="N65" s="711">
        <v>1</v>
      </c>
      <c r="O65" s="711">
        <v>37</v>
      </c>
      <c r="P65" s="711">
        <v>47</v>
      </c>
      <c r="Q65" s="711">
        <v>21</v>
      </c>
      <c r="R65" s="27"/>
    </row>
    <row r="66" spans="1:18">
      <c r="B66" s="709" t="s">
        <v>19</v>
      </c>
      <c r="C66" s="709" t="s">
        <v>45</v>
      </c>
      <c r="D66" s="718" t="s">
        <v>91</v>
      </c>
      <c r="E66" s="711">
        <v>1</v>
      </c>
      <c r="F66" s="711">
        <v>0.5</v>
      </c>
      <c r="G66" s="711">
        <v>1</v>
      </c>
      <c r="H66" s="711">
        <v>0.5</v>
      </c>
      <c r="I66" s="711">
        <v>0</v>
      </c>
      <c r="J66" s="711">
        <v>1</v>
      </c>
      <c r="K66" s="711">
        <v>0</v>
      </c>
      <c r="L66" s="711">
        <v>1</v>
      </c>
      <c r="M66" s="711"/>
      <c r="N66" s="711"/>
      <c r="O66" s="711">
        <v>1</v>
      </c>
      <c r="P66" s="711">
        <v>3</v>
      </c>
      <c r="Q66" s="711">
        <v>2</v>
      </c>
      <c r="R66" s="27"/>
    </row>
    <row r="67" spans="1:18">
      <c r="D67" s="718" t="s">
        <v>92</v>
      </c>
      <c r="E67" s="711">
        <v>0</v>
      </c>
      <c r="F67" s="711">
        <v>1</v>
      </c>
      <c r="G67" s="711">
        <v>0</v>
      </c>
      <c r="H67" s="711">
        <v>1</v>
      </c>
      <c r="I67" s="711">
        <v>0</v>
      </c>
      <c r="J67" s="711">
        <v>1</v>
      </c>
      <c r="K67" s="711">
        <v>0</v>
      </c>
      <c r="L67" s="711">
        <v>1</v>
      </c>
      <c r="M67" s="711"/>
      <c r="N67" s="711"/>
      <c r="O67" s="711"/>
      <c r="P67" s="711">
        <v>1</v>
      </c>
      <c r="Q67" s="711">
        <v>1</v>
      </c>
      <c r="R67" s="27"/>
    </row>
    <row r="68" spans="1:18">
      <c r="C68" s="709" t="s">
        <v>133</v>
      </c>
      <c r="D68" s="709"/>
      <c r="E68" s="711">
        <v>1</v>
      </c>
      <c r="F68" s="711">
        <v>0.66666666666666663</v>
      </c>
      <c r="G68" s="711">
        <v>1</v>
      </c>
      <c r="H68" s="711">
        <v>0.66666666666666663</v>
      </c>
      <c r="I68" s="711">
        <v>0</v>
      </c>
      <c r="J68" s="711">
        <v>1</v>
      </c>
      <c r="K68" s="711">
        <v>0</v>
      </c>
      <c r="L68" s="711">
        <v>1</v>
      </c>
      <c r="M68" s="711"/>
      <c r="N68" s="711"/>
      <c r="O68" s="711">
        <v>1</v>
      </c>
      <c r="P68" s="711">
        <v>4</v>
      </c>
      <c r="Q68" s="711">
        <v>3</v>
      </c>
      <c r="R68" s="27"/>
    </row>
    <row r="69" spans="1:18">
      <c r="C69" s="709" t="s">
        <v>46</v>
      </c>
      <c r="D69" s="718" t="s">
        <v>91</v>
      </c>
      <c r="E69" s="711">
        <v>1</v>
      </c>
      <c r="F69" s="711">
        <v>0.5</v>
      </c>
      <c r="G69" s="711">
        <v>0</v>
      </c>
      <c r="H69" s="711">
        <v>1</v>
      </c>
      <c r="I69" s="711"/>
      <c r="J69" s="711"/>
      <c r="K69" s="711">
        <v>0</v>
      </c>
      <c r="L69" s="711">
        <v>1</v>
      </c>
      <c r="M69" s="711"/>
      <c r="N69" s="711"/>
      <c r="O69" s="711"/>
      <c r="P69" s="711">
        <v>2</v>
      </c>
      <c r="Q69" s="711">
        <v>1</v>
      </c>
      <c r="R69" s="27"/>
    </row>
    <row r="70" spans="1:18">
      <c r="D70" s="718" t="s">
        <v>92</v>
      </c>
      <c r="E70" s="711"/>
      <c r="F70" s="711"/>
      <c r="G70" s="711"/>
      <c r="H70" s="711"/>
      <c r="I70" s="711">
        <v>0</v>
      </c>
      <c r="J70" s="711">
        <v>1</v>
      </c>
      <c r="K70" s="711"/>
      <c r="L70" s="711"/>
      <c r="M70" s="711"/>
      <c r="N70" s="711"/>
      <c r="O70" s="711"/>
      <c r="P70" s="711"/>
      <c r="Q70" s="711"/>
      <c r="R70" s="27"/>
    </row>
    <row r="71" spans="1:18">
      <c r="C71" s="709" t="s">
        <v>134</v>
      </c>
      <c r="D71" s="709"/>
      <c r="E71" s="711">
        <v>1</v>
      </c>
      <c r="F71" s="711">
        <v>0.5</v>
      </c>
      <c r="G71" s="711">
        <v>0</v>
      </c>
      <c r="H71" s="711">
        <v>1</v>
      </c>
      <c r="I71" s="711">
        <v>0</v>
      </c>
      <c r="J71" s="711">
        <v>1</v>
      </c>
      <c r="K71" s="711">
        <v>0</v>
      </c>
      <c r="L71" s="711">
        <v>1</v>
      </c>
      <c r="M71" s="711"/>
      <c r="N71" s="711"/>
      <c r="O71" s="711"/>
      <c r="P71" s="711">
        <v>2</v>
      </c>
      <c r="Q71" s="711">
        <v>1</v>
      </c>
      <c r="R71" s="27"/>
    </row>
    <row r="72" spans="1:18">
      <c r="C72" s="709" t="s">
        <v>48</v>
      </c>
      <c r="D72" s="718" t="s">
        <v>91</v>
      </c>
      <c r="E72" s="711"/>
      <c r="F72" s="711"/>
      <c r="G72" s="711">
        <v>1</v>
      </c>
      <c r="H72" s="711">
        <v>0</v>
      </c>
      <c r="I72" s="711">
        <v>0</v>
      </c>
      <c r="J72" s="711">
        <v>1</v>
      </c>
      <c r="K72" s="711">
        <v>0</v>
      </c>
      <c r="L72" s="711">
        <v>1</v>
      </c>
      <c r="M72" s="711"/>
      <c r="N72" s="711"/>
      <c r="O72" s="711">
        <v>1</v>
      </c>
      <c r="P72" s="711">
        <v>1</v>
      </c>
      <c r="Q72" s="711">
        <v>1</v>
      </c>
      <c r="R72" s="27"/>
    </row>
    <row r="73" spans="1:18">
      <c r="D73" s="718" t="s">
        <v>92</v>
      </c>
      <c r="E73" s="711">
        <v>0</v>
      </c>
      <c r="F73" s="711">
        <v>1</v>
      </c>
      <c r="G73" s="711">
        <v>0</v>
      </c>
      <c r="H73" s="711">
        <v>1</v>
      </c>
      <c r="I73" s="711">
        <v>0</v>
      </c>
      <c r="J73" s="711">
        <v>1</v>
      </c>
      <c r="K73" s="711">
        <v>0</v>
      </c>
      <c r="L73" s="711">
        <v>1</v>
      </c>
      <c r="M73" s="711"/>
      <c r="N73" s="711"/>
      <c r="O73" s="711"/>
      <c r="P73" s="711">
        <v>1</v>
      </c>
      <c r="Q73" s="711">
        <v>1</v>
      </c>
      <c r="R73" s="27"/>
    </row>
    <row r="74" spans="1:18">
      <c r="C74" s="709" t="s">
        <v>135</v>
      </c>
      <c r="D74" s="709"/>
      <c r="E74" s="711">
        <v>0</v>
      </c>
      <c r="F74" s="711">
        <v>1</v>
      </c>
      <c r="G74" s="711">
        <v>1</v>
      </c>
      <c r="H74" s="711">
        <v>0.5</v>
      </c>
      <c r="I74" s="711">
        <v>0</v>
      </c>
      <c r="J74" s="711">
        <v>1</v>
      </c>
      <c r="K74" s="711">
        <v>0</v>
      </c>
      <c r="L74" s="711">
        <v>1</v>
      </c>
      <c r="M74" s="711"/>
      <c r="N74" s="711"/>
      <c r="O74" s="711">
        <v>1</v>
      </c>
      <c r="P74" s="711">
        <v>2</v>
      </c>
      <c r="Q74" s="711">
        <v>2</v>
      </c>
      <c r="R74" s="27"/>
    </row>
    <row r="75" spans="1:18">
      <c r="C75" s="709" t="s">
        <v>103</v>
      </c>
      <c r="D75" s="718" t="s">
        <v>91</v>
      </c>
      <c r="E75" s="711">
        <v>1</v>
      </c>
      <c r="F75" s="711">
        <v>0.5</v>
      </c>
      <c r="G75" s="711">
        <v>1</v>
      </c>
      <c r="H75" s="711">
        <v>0.5</v>
      </c>
      <c r="I75" s="711">
        <v>0</v>
      </c>
      <c r="J75" s="711">
        <v>1</v>
      </c>
      <c r="K75" s="711">
        <v>0</v>
      </c>
      <c r="L75" s="711">
        <v>1</v>
      </c>
      <c r="M75" s="711"/>
      <c r="N75" s="711"/>
      <c r="O75" s="711">
        <v>1</v>
      </c>
      <c r="P75" s="711">
        <v>3</v>
      </c>
      <c r="Q75" s="711">
        <v>2</v>
      </c>
      <c r="R75" s="27"/>
    </row>
    <row r="76" spans="1:18">
      <c r="D76" s="718" t="s">
        <v>92</v>
      </c>
      <c r="E76" s="711">
        <v>0</v>
      </c>
      <c r="F76" s="711">
        <v>1</v>
      </c>
      <c r="G76" s="711">
        <v>0</v>
      </c>
      <c r="H76" s="711">
        <v>1</v>
      </c>
      <c r="I76" s="711">
        <v>0</v>
      </c>
      <c r="J76" s="711">
        <v>1</v>
      </c>
      <c r="K76" s="711">
        <v>0</v>
      </c>
      <c r="L76" s="711">
        <v>1</v>
      </c>
      <c r="M76" s="711"/>
      <c r="N76" s="711"/>
      <c r="O76" s="711"/>
      <c r="P76" s="711">
        <v>1</v>
      </c>
      <c r="Q76" s="711">
        <v>1</v>
      </c>
      <c r="R76" s="27"/>
    </row>
    <row r="77" spans="1:18">
      <c r="C77" s="709" t="s">
        <v>136</v>
      </c>
      <c r="D77" s="709"/>
      <c r="E77" s="711">
        <v>1</v>
      </c>
      <c r="F77" s="711">
        <v>0.66666666666666663</v>
      </c>
      <c r="G77" s="711">
        <v>1</v>
      </c>
      <c r="H77" s="711">
        <v>0.66666666666666663</v>
      </c>
      <c r="I77" s="711">
        <v>0</v>
      </c>
      <c r="J77" s="711">
        <v>1</v>
      </c>
      <c r="K77" s="711">
        <v>0</v>
      </c>
      <c r="L77" s="711">
        <v>1</v>
      </c>
      <c r="M77" s="711"/>
      <c r="N77" s="711"/>
      <c r="O77" s="711">
        <v>1</v>
      </c>
      <c r="P77" s="711">
        <v>4</v>
      </c>
      <c r="Q77" s="711">
        <v>3</v>
      </c>
      <c r="R77" s="27"/>
    </row>
    <row r="78" spans="1:18">
      <c r="B78" s="709" t="s">
        <v>111</v>
      </c>
      <c r="C78" s="709"/>
      <c r="D78" s="709"/>
      <c r="E78" s="711">
        <v>3</v>
      </c>
      <c r="F78" s="711">
        <v>0.66666666666666663</v>
      </c>
      <c r="G78" s="711">
        <v>3</v>
      </c>
      <c r="H78" s="711">
        <v>0.66666666666666663</v>
      </c>
      <c r="I78" s="711">
        <v>0</v>
      </c>
      <c r="J78" s="711">
        <v>1</v>
      </c>
      <c r="K78" s="711">
        <v>0</v>
      </c>
      <c r="L78" s="711">
        <v>1</v>
      </c>
      <c r="M78" s="711"/>
      <c r="N78" s="711"/>
      <c r="O78" s="711">
        <v>3</v>
      </c>
      <c r="P78" s="711">
        <v>12</v>
      </c>
      <c r="Q78" s="711">
        <v>9</v>
      </c>
      <c r="R78" s="27"/>
    </row>
    <row r="79" spans="1:18">
      <c r="A79" s="709" t="s">
        <v>94</v>
      </c>
      <c r="B79" s="709"/>
      <c r="C79" s="709"/>
      <c r="D79" s="709"/>
      <c r="E79" s="711">
        <v>3</v>
      </c>
      <c r="F79" s="711">
        <v>0.91176470588235292</v>
      </c>
      <c r="G79" s="711">
        <v>3</v>
      </c>
      <c r="H79" s="711">
        <v>0.9</v>
      </c>
      <c r="I79" s="711">
        <v>0</v>
      </c>
      <c r="J79" s="711">
        <v>1</v>
      </c>
      <c r="K79" s="711">
        <v>0</v>
      </c>
      <c r="L79" s="711">
        <v>1</v>
      </c>
      <c r="M79" s="711">
        <v>0</v>
      </c>
      <c r="N79" s="711">
        <v>1</v>
      </c>
      <c r="O79" s="711">
        <v>40</v>
      </c>
      <c r="P79" s="711">
        <v>59</v>
      </c>
      <c r="Q79" s="711">
        <v>30</v>
      </c>
      <c r="R79" s="27"/>
    </row>
    <row r="80" spans="1:18">
      <c r="A80" s="709" t="s">
        <v>88</v>
      </c>
      <c r="E80" s="711">
        <v>4</v>
      </c>
      <c r="F80" s="711">
        <v>0.92</v>
      </c>
      <c r="G80" s="711">
        <v>4</v>
      </c>
      <c r="H80" s="711">
        <v>0.91304347826086951</v>
      </c>
      <c r="I80" s="711">
        <v>0</v>
      </c>
      <c r="J80" s="711">
        <v>1</v>
      </c>
      <c r="K80" s="711">
        <v>0</v>
      </c>
      <c r="L80" s="711">
        <v>1</v>
      </c>
      <c r="M80" s="711">
        <v>0</v>
      </c>
      <c r="N80" s="711">
        <v>1</v>
      </c>
      <c r="O80" s="711">
        <v>58</v>
      </c>
      <c r="P80" s="711">
        <v>83</v>
      </c>
      <c r="Q80" s="711">
        <v>46</v>
      </c>
      <c r="R80" s="27"/>
    </row>
  </sheetData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>
  <dimension ref="J1:K1"/>
  <sheetViews>
    <sheetView workbookViewId="0"/>
  </sheetViews>
  <sheetFormatPr defaultRowHeight="15"/>
  <cols>
    <col min="10" max="11" width="9.140625" style="708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YTD SBU</vt:lpstr>
      <vt:lpstr>YTD SBU GR2</vt:lpstr>
      <vt:lpstr>YTD TEAM GR1</vt:lpstr>
      <vt:lpstr>Other</vt:lpstr>
      <vt:lpstr>RawData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2015-09-23T08:05:50Z</dcterms:modified>
</cp:coreProperties>
</file>